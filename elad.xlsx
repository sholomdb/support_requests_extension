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C:\Users\shalomb\PycharmProjects\pythonProject\support_requests\"/>
    </mc:Choice>
  </mc:AlternateContent>
  <xr:revisionPtr revIDLastSave="0" documentId="13_ncr:1_{A17C357D-177D-4847-8A7D-2674304727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בקשות" sheetId="1" r:id="rId1"/>
  </sheets>
  <definedNames>
    <definedName name="_xlnm._FilterDatabase" localSheetId="0" hidden="1">בקשות!$A$6:$AD$6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6" i="1" l="1"/>
  <c r="W81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71" i="1"/>
  <c r="W72" i="1"/>
  <c r="W73" i="1"/>
  <c r="W74" i="1"/>
  <c r="W75" i="1"/>
  <c r="W76" i="1"/>
  <c r="W77" i="1"/>
  <c r="W7" i="1"/>
  <c r="W16" i="1"/>
  <c r="W17" i="1"/>
  <c r="W62" i="1"/>
  <c r="W64" i="1"/>
  <c r="W65" i="1"/>
  <c r="W66" i="1"/>
  <c r="W67" i="1"/>
  <c r="W78" i="1"/>
  <c r="W79" i="1"/>
  <c r="W80" i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" i="1" a="1"/>
  <c r="D7" i="1" s="1"/>
  <c r="D16" i="1" a="1"/>
  <c r="D16" i="1" s="1"/>
  <c r="D17" i="1" a="1"/>
  <c r="D17" i="1" s="1"/>
  <c r="D62" i="1" a="1"/>
  <c r="D62" i="1" s="1"/>
  <c r="D64" i="1" a="1"/>
  <c r="D64" i="1" s="1"/>
  <c r="D65" i="1" a="1"/>
  <c r="D65" i="1" s="1"/>
  <c r="D66" i="1" a="1"/>
  <c r="D66" i="1" s="1"/>
  <c r="D67" i="1" a="1"/>
  <c r="D67" i="1" s="1"/>
  <c r="D78" i="1" a="1"/>
  <c r="D78" i="1" s="1"/>
  <c r="D79" i="1" a="1"/>
  <c r="D79" i="1" s="1"/>
  <c r="D80" i="1" a="1"/>
  <c r="D80" i="1" s="1"/>
  <c r="D81" i="1" a="1"/>
  <c r="D81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29" i="1" l="1" a="1"/>
  <c r="D29" i="1" s="1"/>
  <c r="W8" i="1" l="1"/>
  <c r="W9" i="1"/>
  <c r="W10" i="1"/>
  <c r="W11" i="1"/>
  <c r="W12" i="1"/>
  <c r="W18" i="1"/>
  <c r="W19" i="1"/>
  <c r="W13" i="1"/>
  <c r="W14" i="1"/>
  <c r="W20" i="1"/>
  <c r="W21" i="1"/>
  <c r="W22" i="1"/>
  <c r="W23" i="1"/>
  <c r="W24" i="1"/>
  <c r="W25" i="1"/>
  <c r="W26" i="1"/>
  <c r="W68" i="1"/>
  <c r="W69" i="1"/>
  <c r="W70" i="1"/>
  <c r="W15" i="1"/>
  <c r="W27" i="1"/>
  <c r="W28" i="1"/>
  <c r="W63" i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8" i="1" a="1"/>
  <c r="D18" i="1" s="1"/>
  <c r="D19" i="1" a="1"/>
  <c r="D19" i="1" s="1"/>
  <c r="D13" i="1" a="1"/>
  <c r="D13" i="1" s="1"/>
  <c r="D14" i="1" a="1"/>
  <c r="D14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68" i="1" a="1"/>
  <c r="D68" i="1" s="1"/>
  <c r="D69" i="1" a="1"/>
  <c r="D69" i="1" s="1"/>
  <c r="D70" i="1" a="1"/>
  <c r="D70" i="1" s="1"/>
  <c r="D15" i="1" a="1"/>
  <c r="D15" i="1" s="1"/>
  <c r="D27" i="1" a="1"/>
  <c r="D27" i="1" s="1"/>
  <c r="D28" i="1" a="1"/>
  <c r="D28" i="1" s="1"/>
  <c r="D63" i="1" a="1"/>
  <c r="D63" i="1" s="1"/>
</calcChain>
</file>

<file path=xl/sharedStrings.xml><?xml version="1.0" encoding="utf-8"?>
<sst xmlns="http://schemas.openxmlformats.org/spreadsheetml/2006/main" count="1161" uniqueCount="291">
  <si>
    <t>שם הרשות</t>
  </si>
  <si>
    <t>שם משפחה</t>
  </si>
  <si>
    <t>שם פרטי</t>
  </si>
  <si>
    <t>מגדר</t>
  </si>
  <si>
    <t>מגזר</t>
  </si>
  <si>
    <t>מצב משפחתי</t>
  </si>
  <si>
    <t>נפשות</t>
  </si>
  <si>
    <t>ארץ לידה</t>
  </si>
  <si>
    <t>תאריך לידה</t>
  </si>
  <si>
    <t>ניצול שואה</t>
  </si>
  <si>
    <t>טלפון נייד</t>
  </si>
  <si>
    <t>רחוב</t>
  </si>
  <si>
    <t xml:space="preserve">סכום סיוע בש"ח </t>
  </si>
  <si>
    <t xml:space="preserve">נימוקים לאישור </t>
  </si>
  <si>
    <t>ישוב</t>
  </si>
  <si>
    <t>פריט</t>
  </si>
  <si>
    <t>נקבה</t>
  </si>
  <si>
    <t>זכר</t>
  </si>
  <si>
    <t>יהודי</t>
  </si>
  <si>
    <t>דרוזי</t>
  </si>
  <si>
    <t>מוסלמי</t>
  </si>
  <si>
    <t>בדואי</t>
  </si>
  <si>
    <t>נוצרי</t>
  </si>
  <si>
    <t>רווק/ה</t>
  </si>
  <si>
    <t>אלמנ/ה</t>
  </si>
  <si>
    <t>נשוי/אה</t>
  </si>
  <si>
    <t>גרוש/ה</t>
  </si>
  <si>
    <t>פרוד/ה</t>
  </si>
  <si>
    <t>כן</t>
  </si>
  <si>
    <t>לא</t>
  </si>
  <si>
    <t>לבחור מתוך הרשימה בלשונית 2</t>
  </si>
  <si>
    <t>לפי התקרה של פריט בלשונית 2 ועד 10אלש לבית אב</t>
  </si>
  <si>
    <t>סוג תקציב</t>
  </si>
  <si>
    <t>משפחות</t>
  </si>
  <si>
    <t>אזרח ותיק</t>
  </si>
  <si>
    <t>ניצולי שואה</t>
  </si>
  <si>
    <t>צעירים (תיקון)</t>
  </si>
  <si>
    <t>סעיף פריט</t>
  </si>
  <si>
    <t>חשמל</t>
  </si>
  <si>
    <t>ריהוט</t>
  </si>
  <si>
    <t>ביגוד והנעלה</t>
  </si>
  <si>
    <t>מזון</t>
  </si>
  <si>
    <t>המספר שמופיע בכרטיס באמצע למעלה</t>
  </si>
  <si>
    <t xml:space="preserve"> תעודת זהות </t>
  </si>
  <si>
    <t>בנין</t>
  </si>
  <si>
    <t>מחשבים</t>
  </si>
  <si>
    <t>מספר כרטיס 1</t>
  </si>
  <si>
    <t>מספר כרטיס 2</t>
  </si>
  <si>
    <t>מספר כרטיס 3</t>
  </si>
  <si>
    <t>מספר כרטיס 4</t>
  </si>
  <si>
    <t>מספר כרטיס 5</t>
  </si>
  <si>
    <t>ניתן להטעין כל כרטיס במקסימום 1000 ₪ , במידה וסכום הסיוע הוא מעל סכום זה, לוסיף כרטיסים נוספים עד להגעת סכום הפריט</t>
  </si>
  <si>
    <t>בדיקת כרטיס 1</t>
  </si>
  <si>
    <t>בדיקת כרטיס 2</t>
  </si>
  <si>
    <t>בדיקת כרטיס 3</t>
  </si>
  <si>
    <t>בדיקת כרטיס 4</t>
  </si>
  <si>
    <t>בדיקת כרטיס 5</t>
  </si>
  <si>
    <t>בדיקת תז</t>
  </si>
  <si>
    <t>אלעד</t>
  </si>
  <si>
    <t>רפאל</t>
  </si>
  <si>
    <t>ישראל</t>
  </si>
  <si>
    <t>כרטיס מזון</t>
  </si>
  <si>
    <t>ביגוד</t>
  </si>
  <si>
    <t>דנוך</t>
  </si>
  <si>
    <t>אורית</t>
  </si>
  <si>
    <t>שמעיה</t>
  </si>
  <si>
    <t>ארגנטינה</t>
  </si>
  <si>
    <t>רבי יהודה הנשיא</t>
  </si>
  <si>
    <t>אבטליון</t>
  </si>
  <si>
    <t>רבי יוסף קארו</t>
  </si>
  <si>
    <t>הדר</t>
  </si>
  <si>
    <t>זוהר</t>
  </si>
  <si>
    <t>0502629786</t>
  </si>
  <si>
    <t>רש"י</t>
  </si>
  <si>
    <t>יעקב</t>
  </si>
  <si>
    <t>שמואל</t>
  </si>
  <si>
    <t>שמאי</t>
  </si>
  <si>
    <t>בן שושן</t>
  </si>
  <si>
    <t>אסתר</t>
  </si>
  <si>
    <t>הזמיר</t>
  </si>
  <si>
    <t>רבי יונתן בן עוזיאל</t>
  </si>
  <si>
    <t>שמעון בן שטח</t>
  </si>
  <si>
    <t>דוד</t>
  </si>
  <si>
    <t>אבן גבירול</t>
  </si>
  <si>
    <t>יוסף</t>
  </si>
  <si>
    <t>ארבל</t>
  </si>
  <si>
    <t>משה</t>
  </si>
  <si>
    <t>0527614954</t>
  </si>
  <si>
    <t>דמרי</t>
  </si>
  <si>
    <t>אביעד אליהו</t>
  </si>
  <si>
    <t>0583234431</t>
  </si>
  <si>
    <t>רבן יוחנן בן זכאי</t>
  </si>
  <si>
    <t>עקרם</t>
  </si>
  <si>
    <t>אסיה לא ידוע</t>
  </si>
  <si>
    <t>0543396391</t>
  </si>
  <si>
    <t>חבושה</t>
  </si>
  <si>
    <t>יהודית</t>
  </si>
  <si>
    <t>אלמן/ה</t>
  </si>
  <si>
    <t>0548437510</t>
  </si>
  <si>
    <t>רבי יוסי בן קיסמא</t>
  </si>
  <si>
    <t>מדמוני</t>
  </si>
  <si>
    <t>מנחם נחמן</t>
  </si>
  <si>
    <t>שקורי</t>
  </si>
  <si>
    <t>מאיר</t>
  </si>
  <si>
    <t>0527966856</t>
  </si>
  <si>
    <t>רבנו ניסים גאון</t>
  </si>
  <si>
    <t>תנור אפיה</t>
  </si>
  <si>
    <t>אסולין</t>
  </si>
  <si>
    <t>מורן</t>
  </si>
  <si>
    <t>0524547010</t>
  </si>
  <si>
    <t>שמעון הצדיק</t>
  </si>
  <si>
    <t>חנה</t>
  </si>
  <si>
    <t>רשבי</t>
  </si>
  <si>
    <t>נהרי</t>
  </si>
  <si>
    <t>אפרת</t>
  </si>
  <si>
    <t>039370928</t>
  </si>
  <si>
    <t>רמבם</t>
  </si>
  <si>
    <t>ורטהימר</t>
  </si>
  <si>
    <t>אליעזר</t>
  </si>
  <si>
    <t>אברמוב</t>
  </si>
  <si>
    <t>גבריאל</t>
  </si>
  <si>
    <t>רוסיה</t>
  </si>
  <si>
    <t>0548503746</t>
  </si>
  <si>
    <t>שאולוב פנחס</t>
  </si>
  <si>
    <t>רונן</t>
  </si>
  <si>
    <t>אוזבקיסטן</t>
  </si>
  <si>
    <t>יצחק</t>
  </si>
  <si>
    <t>ברית המועצות</t>
  </si>
  <si>
    <t>0504185175</t>
  </si>
  <si>
    <t>בעלי התוספות</t>
  </si>
  <si>
    <t>בוכניק</t>
  </si>
  <si>
    <t>עדיאל גבריאל</t>
  </si>
  <si>
    <t>0548466434</t>
  </si>
  <si>
    <t>רוזן</t>
  </si>
  <si>
    <t>שאול</t>
  </si>
  <si>
    <t>עובדיה מברטנורה</t>
  </si>
  <si>
    <t>טולדנו</t>
  </si>
  <si>
    <t>צרפת</t>
  </si>
  <si>
    <t>0556780377</t>
  </si>
  <si>
    <t>התאנה</t>
  </si>
  <si>
    <t>גוליאן</t>
  </si>
  <si>
    <t>מרדכי</t>
  </si>
  <si>
    <t>אירן</t>
  </si>
  <si>
    <t>0536095534</t>
  </si>
  <si>
    <t>כהן</t>
  </si>
  <si>
    <t>גיא</t>
  </si>
  <si>
    <t>0522465156</t>
  </si>
  <si>
    <t>גאולה</t>
  </si>
  <si>
    <t>0542465040</t>
  </si>
  <si>
    <t>שקרוב</t>
  </si>
  <si>
    <t>עליזה</t>
  </si>
  <si>
    <t>0534789378</t>
  </si>
  <si>
    <t>ויצמן</t>
  </si>
  <si>
    <t>אלירן</t>
  </si>
  <si>
    <t>ריטב``א</t>
  </si>
  <si>
    <t>חזן</t>
  </si>
  <si>
    <t>יפית</t>
  </si>
  <si>
    <t>0534875324</t>
  </si>
  <si>
    <t>אלואני</t>
  </si>
  <si>
    <t>אליאס גבריאל</t>
  </si>
  <si>
    <t>0583234377</t>
  </si>
  <si>
    <t>קריטורו</t>
  </si>
  <si>
    <t>מקסיקו</t>
  </si>
  <si>
    <t>דהן</t>
  </si>
  <si>
    <t>שמעון</t>
  </si>
  <si>
    <t>מרוקו</t>
  </si>
  <si>
    <t>אהרן</t>
  </si>
  <si>
    <t>איל</t>
  </si>
  <si>
    <t>חלבלי</t>
  </si>
  <si>
    <t>תחיה</t>
  </si>
  <si>
    <t>039096671</t>
  </si>
  <si>
    <t>התור</t>
  </si>
  <si>
    <t>עידן פרויליכמן</t>
  </si>
  <si>
    <t>דותן אברהם</t>
  </si>
  <si>
    <t>0546177818</t>
  </si>
  <si>
    <t>חיון</t>
  </si>
  <si>
    <t>עזר</t>
  </si>
  <si>
    <t>שאר ארצות אפריקה</t>
  </si>
  <si>
    <t>שריקי</t>
  </si>
  <si>
    <t>רן</t>
  </si>
  <si>
    <t>יהב</t>
  </si>
  <si>
    <t>מרים לאה</t>
  </si>
  <si>
    <t>טבול</t>
  </si>
  <si>
    <t>שאר ארצות אירופה</t>
  </si>
  <si>
    <t>0548468528</t>
  </si>
  <si>
    <t>רבינו בחיי</t>
  </si>
  <si>
    <t>עוקשי</t>
  </si>
  <si>
    <t>0545418851</t>
  </si>
  <si>
    <t>אמזלג</t>
  </si>
  <si>
    <t>שמעון יוסף</t>
  </si>
  <si>
    <t>רוזנברג</t>
  </si>
  <si>
    <t>בנימין</t>
  </si>
  <si>
    <t>ארצות הברית</t>
  </si>
  <si>
    <t>0527680866</t>
  </si>
  <si>
    <t>חוני המעגל</t>
  </si>
  <si>
    <t>איתמר</t>
  </si>
  <si>
    <t>0533186663</t>
  </si>
  <si>
    <t>קלוגר</t>
  </si>
  <si>
    <t>אברהם משה</t>
  </si>
  <si>
    <t>ארון בגדים</t>
  </si>
  <si>
    <t>חנן</t>
  </si>
  <si>
    <t>0527633663</t>
  </si>
  <si>
    <t>שקלים</t>
  </si>
  <si>
    <t>מאיר אופיר</t>
  </si>
  <si>
    <t>0527668991</t>
  </si>
  <si>
    <t>עבוד</t>
  </si>
  <si>
    <t>שיראל</t>
  </si>
  <si>
    <t>רש``י</t>
  </si>
  <si>
    <t>קרוצ'ה</t>
  </si>
  <si>
    <t>נעמה</t>
  </si>
  <si>
    <t>נסים</t>
  </si>
  <si>
    <t>0527168367</t>
  </si>
  <si>
    <t>רשי</t>
  </si>
  <si>
    <t>גרון</t>
  </si>
  <si>
    <t>עדי</t>
  </si>
  <si>
    <t>0556692085</t>
  </si>
  <si>
    <t>גרטזר</t>
  </si>
  <si>
    <t>רות</t>
  </si>
  <si>
    <t>סקיטל</t>
  </si>
  <si>
    <t>מרגנית</t>
  </si>
  <si>
    <t>0524045282</t>
  </si>
  <si>
    <t>זליכה</t>
  </si>
  <si>
    <t>קובי</t>
  </si>
  <si>
    <t>0545577989</t>
  </si>
  <si>
    <t>פרץ</t>
  </si>
  <si>
    <t>ישראל נסים</t>
  </si>
  <si>
    <t>0543197946</t>
  </si>
  <si>
    <t>פייזאקוב</t>
  </si>
  <si>
    <t>039074361</t>
  </si>
  <si>
    <t>רבי עקיבא</t>
  </si>
  <si>
    <t>ידועב</t>
  </si>
  <si>
    <t>מנחם מנדל</t>
  </si>
  <si>
    <t>039074768</t>
  </si>
  <si>
    <t>בוסקילה</t>
  </si>
  <si>
    <t>יוסף חיים מנשה</t>
  </si>
  <si>
    <t xml:space="preserve"> 0527676585</t>
  </si>
  <si>
    <t>עובדיה</t>
  </si>
  <si>
    <t>בניהו</t>
  </si>
  <si>
    <t>0527109182</t>
  </si>
  <si>
    <t>ריטב'א</t>
  </si>
  <si>
    <t>ללזר</t>
  </si>
  <si>
    <t>ללוש</t>
  </si>
  <si>
    <t>0555604816</t>
  </si>
  <si>
    <t>רשב'ם</t>
  </si>
  <si>
    <t>נחשון</t>
  </si>
  <si>
    <t>אביטל</t>
  </si>
  <si>
    <t>הרשקוביץ</t>
  </si>
  <si>
    <t>יהודה</t>
  </si>
  <si>
    <t>רבי מאיר</t>
  </si>
  <si>
    <t>טפירו</t>
  </si>
  <si>
    <t>אילן</t>
  </si>
  <si>
    <t>רשב"ם</t>
  </si>
  <si>
    <t>וקחי</t>
  </si>
  <si>
    <t>אריאל</t>
  </si>
  <si>
    <t>דרשן</t>
  </si>
  <si>
    <t>אשר ינון</t>
  </si>
  <si>
    <t>0533105207</t>
  </si>
  <si>
    <t>מזרחי</t>
  </si>
  <si>
    <t>אסף</t>
  </si>
  <si>
    <t>בנג'י</t>
  </si>
  <si>
    <t>0529375895</t>
  </si>
  <si>
    <t>בן יוסף</t>
  </si>
  <si>
    <t>רונית רוני</t>
  </si>
  <si>
    <t>אסרף</t>
  </si>
  <si>
    <t>גרינבוים</t>
  </si>
  <si>
    <t>ברוך צבי</t>
  </si>
  <si>
    <t>0548494922</t>
  </si>
  <si>
    <t>רוחני</t>
  </si>
  <si>
    <t>יאיר</t>
  </si>
  <si>
    <t>0527194008</t>
  </si>
  <si>
    <t>זכריה</t>
  </si>
  <si>
    <t>מנשריאן</t>
  </si>
  <si>
    <t>עזרא</t>
  </si>
  <si>
    <t>0548426997</t>
  </si>
  <si>
    <t>שמריהו</t>
  </si>
  <si>
    <t>דורון</t>
  </si>
  <si>
    <t>05202786052</t>
  </si>
  <si>
    <t>דמארי</t>
  </si>
  <si>
    <t>איתי משה</t>
  </si>
  <si>
    <t>רד'ק</t>
  </si>
  <si>
    <t>עמר</t>
  </si>
  <si>
    <t>מיכל</t>
  </si>
  <si>
    <t>קליין</t>
  </si>
  <si>
    <t>אלימלך</t>
  </si>
  <si>
    <t>הלל</t>
  </si>
  <si>
    <t>מזיג</t>
  </si>
  <si>
    <t>יוסי</t>
  </si>
  <si>
    <t>0545669895</t>
  </si>
  <si>
    <t>מצב כלכלי קשה</t>
  </si>
  <si>
    <t>מלחמה</t>
  </si>
  <si>
    <t>אלימות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</si>
</sst>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00000000"/>
    <numFmt numFmtId="165" formatCode="d/m/yy;@"/>
    <numFmt numFmtId="166" formatCode="0000000000"/>
  </numFmts>
  <fonts count="7" x14ac:knownFonts="1">
    <font>
      <sz val="11"/>
      <color theme="1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164" fontId="1" fillId="5" borderId="1" xfId="0" applyNumberFormat="1" applyFont="1" applyFill="1" applyBorder="1"/>
    <xf numFmtId="0" fontId="1" fillId="5" borderId="1" xfId="0" applyFont="1" applyFill="1" applyBorder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165" fontId="0" fillId="0" borderId="0" xfId="0" applyNumberFormat="1"/>
    <xf numFmtId="165" fontId="1" fillId="2" borderId="1" xfId="0" applyNumberFormat="1" applyFont="1" applyFill="1" applyBorder="1"/>
    <xf numFmtId="14" fontId="0" fillId="0" borderId="0" xfId="0" applyNumberFormat="1" applyAlignment="1" applyProtection="1">
      <alignment vertical="center"/>
      <protection locked="0"/>
    </xf>
    <xf numFmtId="4" fontId="0" fillId="0" borderId="0" xfId="0" applyNumberFormat="1" applyAlignment="1" applyProtection="1">
      <alignment vertical="center"/>
      <protection locked="0"/>
    </xf>
    <xf numFmtId="0" fontId="5" fillId="5" borderId="1" xfId="0" applyFont="1" applyFill="1" applyBorder="1"/>
    <xf numFmtId="0" fontId="6" fillId="5" borderId="1" xfId="0" applyFont="1" applyFill="1" applyBorder="1"/>
    <xf numFmtId="0" fontId="6" fillId="5" borderId="2" xfId="0" applyFont="1" applyFill="1" applyBorder="1"/>
    <xf numFmtId="0" fontId="0" fillId="0" borderId="1" xfId="0" applyBorder="1"/>
    <xf numFmtId="0" fontId="6" fillId="5" borderId="0" xfId="0" applyFont="1" applyFill="1"/>
    <xf numFmtId="0" fontId="2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4" fontId="0" fillId="0" borderId="0" xfId="0" applyNumberFormat="1"/>
    <xf numFmtId="166" fontId="0" fillId="0" borderId="0" xfId="0" applyNumberFormat="1" applyAlignment="1">
      <alignment horizontal="right" indent="1"/>
    </xf>
    <xf numFmtId="166" fontId="1" fillId="2" borderId="1" xfId="0" applyNumberFormat="1" applyFont="1" applyFill="1" applyBorder="1" applyAlignment="1">
      <alignment horizontal="right" indent="1"/>
    </xf>
    <xf numFmtId="0" fontId="0" fillId="3" borderId="0" xfId="0" applyFill="1"/>
    <xf numFmtId="0" fontId="5" fillId="3" borderId="1" xfId="0" applyFont="1" applyFill="1" applyBorder="1"/>
    <xf numFmtId="14" fontId="0" fillId="3" borderId="0" xfId="0" applyNumberFormat="1" applyFill="1" applyAlignment="1" applyProtection="1">
      <alignment vertical="center"/>
      <protection locked="0"/>
    </xf>
    <xf numFmtId="166" fontId="0" fillId="3" borderId="0" xfId="0" applyNumberFormat="1" applyFill="1" applyAlignment="1">
      <alignment horizontal="right" indent="1"/>
    </xf>
    <xf numFmtId="4" fontId="0" fillId="3" borderId="0" xfId="0" applyNumberFormat="1" applyFill="1" applyAlignment="1" applyProtection="1">
      <alignment vertical="center"/>
      <protection locked="0"/>
    </xf>
    <xf numFmtId="0" fontId="6" fillId="3" borderId="1" xfId="0" applyFont="1" applyFill="1" applyBorder="1"/>
    <xf numFmtId="0" fontId="0" fillId="3" borderId="1" xfId="0" applyFill="1" applyBorder="1"/>
    <xf numFmtId="164" fontId="0" fillId="3" borderId="0" xfId="0" applyNumberFormat="1" applyFill="1"/>
  </cellXfs>
  <cellStyles count="3">
    <cellStyle name="Comma 2" xfId="1" xr:uid="{00000000-0005-0000-0000-000000000000}"/>
    <cellStyle name="Comma 3" xfId="2" xr:uid="{00000000-0005-0000-0000-000001000000}"/>
    <cellStyle name="Normal" xfId="0" builtinId="0"/>
  </cellStyles>
  <dxfs count="6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AE81"/>
  <sheetViews>
    <sheetView rightToLeft="1" tabSelected="1" topLeftCell="A66" workbookViewId="0">
      <selection activeCell="C72" sqref="C72"/>
    </sheetView>
  </sheetViews>
  <sheetFormatPr defaultColWidth="9.08203125" defaultRowHeight="14" x14ac:dyDescent="0.3"/>
  <cols>
    <col min="1" max="1" width="23.83203125" bestFit="1" customWidth="1"/>
    <col min="2" max="2" width="10.58203125" customWidth="1"/>
    <col min="3" max="3" width="13.75" style="28" customWidth="1"/>
    <col min="4" max="4" width="14.25" customWidth="1"/>
    <col min="5" max="5" width="12.08203125" customWidth="1"/>
    <col min="6" max="6" width="14.08203125" bestFit="1" customWidth="1"/>
    <col min="7" max="7" width="6.25" bestFit="1" customWidth="1"/>
    <col min="8" max="8" width="9.5" bestFit="1" customWidth="1"/>
    <col min="9" max="9" width="12.08203125" customWidth="1"/>
    <col min="10" max="10" width="7.5" bestFit="1" customWidth="1"/>
    <col min="11" max="11" width="10" bestFit="1" customWidth="1"/>
    <col min="12" max="12" width="14.33203125" style="10" customWidth="1"/>
    <col min="13" max="13" width="9" customWidth="1"/>
    <col min="14" max="14" width="14.83203125" style="29" customWidth="1"/>
    <col min="15" max="15" width="17.08203125" customWidth="1"/>
    <col min="16" max="16" width="7.75" customWidth="1"/>
    <col min="17" max="17" width="8" customWidth="1"/>
    <col min="18" max="18" width="17.25" customWidth="1"/>
    <col min="19" max="19" width="14.75" customWidth="1"/>
    <col min="20" max="20" width="17.83203125" customWidth="1"/>
    <col min="21" max="21" width="31" customWidth="1"/>
    <col min="22" max="23" width="22.58203125" customWidth="1"/>
    <col min="24" max="24" width="22.58203125" style="8" customWidth="1"/>
    <col min="25" max="31" width="22.58203125" customWidth="1"/>
    <col min="32" max="34" width="9.08203125" customWidth="1"/>
  </cols>
  <sheetData>
    <row r="1" spans="1:31" x14ac:dyDescent="0.3">
      <c r="H1" s="4" t="s">
        <v>22</v>
      </c>
      <c r="I1" s="3" t="s">
        <v>27</v>
      </c>
      <c r="S1" s="3" t="s">
        <v>45</v>
      </c>
    </row>
    <row r="2" spans="1:31" x14ac:dyDescent="0.3">
      <c r="A2" s="3" t="s">
        <v>36</v>
      </c>
      <c r="H2" s="4" t="s">
        <v>21</v>
      </c>
      <c r="I2" s="3" t="s">
        <v>26</v>
      </c>
      <c r="S2" s="3" t="s">
        <v>41</v>
      </c>
    </row>
    <row r="3" spans="1:31" ht="15" customHeight="1" x14ac:dyDescent="0.3">
      <c r="A3" s="3" t="s">
        <v>35</v>
      </c>
      <c r="H3" s="4" t="s">
        <v>20</v>
      </c>
      <c r="I3" s="3" t="s">
        <v>25</v>
      </c>
      <c r="R3" s="22" t="s">
        <v>30</v>
      </c>
      <c r="S3" s="3" t="s">
        <v>40</v>
      </c>
      <c r="T3" s="23" t="s">
        <v>31</v>
      </c>
      <c r="V3" s="26" t="s">
        <v>51</v>
      </c>
      <c r="W3" s="27"/>
      <c r="X3" s="27"/>
      <c r="Y3" s="27"/>
      <c r="Z3" s="27"/>
      <c r="AA3" s="27"/>
      <c r="AB3" s="27"/>
      <c r="AC3" s="27"/>
      <c r="AD3" s="27"/>
      <c r="AE3" s="27"/>
    </row>
    <row r="4" spans="1:31" ht="15" customHeight="1" x14ac:dyDescent="0.3">
      <c r="A4" s="3" t="s">
        <v>34</v>
      </c>
      <c r="G4" s="3" t="s">
        <v>17</v>
      </c>
      <c r="H4" s="4" t="s">
        <v>19</v>
      </c>
      <c r="I4" s="3" t="s">
        <v>24</v>
      </c>
      <c r="M4" s="4" t="s">
        <v>29</v>
      </c>
      <c r="R4" s="22"/>
      <c r="S4" s="3" t="s">
        <v>39</v>
      </c>
      <c r="T4" s="23"/>
      <c r="V4" s="20" t="s">
        <v>42</v>
      </c>
      <c r="W4" s="5"/>
      <c r="X4" s="24" t="s">
        <v>42</v>
      </c>
      <c r="Y4" s="5"/>
      <c r="Z4" s="20" t="s">
        <v>42</v>
      </c>
      <c r="AA4" s="5"/>
      <c r="AB4" s="20" t="s">
        <v>42</v>
      </c>
      <c r="AC4" s="5"/>
      <c r="AD4" s="20" t="s">
        <v>42</v>
      </c>
      <c r="AE4" s="5"/>
    </row>
    <row r="5" spans="1:31" ht="18" x14ac:dyDescent="0.4">
      <c r="A5" s="3" t="s">
        <v>33</v>
      </c>
      <c r="G5" s="3" t="s">
        <v>16</v>
      </c>
      <c r="H5" s="4" t="s">
        <v>18</v>
      </c>
      <c r="I5" s="3" t="s">
        <v>23</v>
      </c>
      <c r="M5" s="4" t="s">
        <v>28</v>
      </c>
      <c r="R5" s="22"/>
      <c r="S5" s="3" t="s">
        <v>38</v>
      </c>
      <c r="T5" s="23"/>
      <c r="V5" s="21"/>
      <c r="W5" s="7" t="s">
        <v>52</v>
      </c>
      <c r="X5" s="25"/>
      <c r="Y5" s="7" t="s">
        <v>53</v>
      </c>
      <c r="Z5" s="21"/>
      <c r="AA5" s="7" t="s">
        <v>54</v>
      </c>
      <c r="AB5" s="21"/>
      <c r="AC5" s="7" t="s">
        <v>55</v>
      </c>
      <c r="AD5" s="21"/>
      <c r="AE5" s="7" t="s">
        <v>56</v>
      </c>
    </row>
    <row r="6" spans="1:31" ht="18" x14ac:dyDescent="0.4">
      <c r="A6" s="2" t="s">
        <v>32</v>
      </c>
      <c r="B6" s="2" t="s">
        <v>0</v>
      </c>
      <c r="C6" s="2" t="s">
        <v>43</v>
      </c>
      <c r="D6" s="6" t="s">
        <v>57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  <c r="L6" s="11" t="s">
        <v>8</v>
      </c>
      <c r="M6" s="1" t="s">
        <v>9</v>
      </c>
      <c r="N6" s="30" t="s">
        <v>10</v>
      </c>
      <c r="O6" s="1" t="s">
        <v>11</v>
      </c>
      <c r="P6" s="1" t="s">
        <v>44</v>
      </c>
      <c r="Q6" s="1" t="s">
        <v>14</v>
      </c>
      <c r="R6" s="1" t="s">
        <v>15</v>
      </c>
      <c r="S6" s="1" t="s">
        <v>37</v>
      </c>
      <c r="T6" s="1" t="s">
        <v>12</v>
      </c>
      <c r="U6" s="1" t="s">
        <v>13</v>
      </c>
      <c r="V6" s="1" t="s">
        <v>46</v>
      </c>
      <c r="W6" s="7" t="s">
        <v>52</v>
      </c>
      <c r="X6" s="9" t="s">
        <v>47</v>
      </c>
      <c r="Y6" s="7" t="s">
        <v>53</v>
      </c>
      <c r="Z6" s="1" t="s">
        <v>48</v>
      </c>
      <c r="AA6" s="7" t="s">
        <v>54</v>
      </c>
      <c r="AB6" s="1" t="s">
        <v>49</v>
      </c>
      <c r="AC6" s="7" t="s">
        <v>55</v>
      </c>
      <c r="AD6" s="1" t="s">
        <v>50</v>
      </c>
      <c r="AE6" s="7" t="s">
        <v>56</v>
      </c>
    </row>
    <row r="7" spans="1:31" s="31" customFormat="1" x14ac:dyDescent="0.3">
      <c r="A7" s="31" t="s">
        <v>34</v>
      </c>
      <c r="B7" s="31" t="s">
        <v>58</v>
      </c>
      <c r="C7" s="38">
        <v>63183651</v>
      </c>
      <c r="D7" s="32" t="str">
        <f t="array" ref="D7">IF((RIGHT(10-MOD(SUM(--MID(TEXT(C7,"000000000"),{1,3,5,7},1),--RIGHT(MID(TEXT(C7,"000000000"),{2,4,6,8},1)*2),--LEFT(TEXT((MID(TEXT(C7,"000000000"),{2,4,6,8},1)*2),"00"))),10),1))=TEXT(VALUE(RIGHT(C7,1)),"0"),"תקין","מספר זהוי שגוי")</f>
        <v>תקין</v>
      </c>
      <c r="E7" s="31" t="s">
        <v>163</v>
      </c>
      <c r="F7" s="31" t="s">
        <v>164</v>
      </c>
      <c r="G7" s="31" t="s">
        <v>17</v>
      </c>
      <c r="H7" s="31" t="s">
        <v>18</v>
      </c>
      <c r="I7" s="31" t="s">
        <v>26</v>
      </c>
      <c r="J7" s="31">
        <v>1</v>
      </c>
      <c r="K7" s="31" t="s">
        <v>165</v>
      </c>
      <c r="L7" s="33">
        <v>19085</v>
      </c>
      <c r="M7" s="31" t="s">
        <v>29</v>
      </c>
      <c r="N7" s="34">
        <v>500000000</v>
      </c>
      <c r="O7" s="31" t="s">
        <v>91</v>
      </c>
      <c r="P7" s="31">
        <v>73</v>
      </c>
      <c r="Q7" s="31" t="s">
        <v>58</v>
      </c>
      <c r="R7" s="31" t="s">
        <v>61</v>
      </c>
      <c r="S7" s="31" t="s">
        <v>41</v>
      </c>
      <c r="T7" s="35">
        <v>129</v>
      </c>
      <c r="U7" s="31" t="s">
        <v>288</v>
      </c>
      <c r="V7" s="31">
        <v>1186781157</v>
      </c>
      <c r="W7" s="36" t="str">
        <f t="shared" ref="W7:W38" si="0">IF(LEN(V7)&gt;0,IF(LEN(V7)&lt;9,"לא תקין",IF(LEN(V7)&gt;10,"לא תקין",IF(MOD((RIGHT(V7,1)*1)+(MID(V7,LEN(V7)-1,1)*2)+(MID(V7,LEN(V7)-2,1)*3)+(MID(V7,LEN(V7)-3,1)*4)+(MID(V7,LEN(V7)-4,1)*5)+(MID(V7,LEN(V7)-5,1)*6)+(MID(V7,LEN(V7)-6,1)*7)+(MID(V7,LEN(V7)-7,1)*8)+(MID(V7,LEN(V7)-8,1)*9)+(IF(LEN(V7)=9,0,MID(V7,LEN(V7)-9,1))*10),11)=0,"תקין","לא תקין"))),"ריק")</f>
        <v>תקין</v>
      </c>
      <c r="X7" s="37"/>
    </row>
    <row r="8" spans="1:31" s="31" customFormat="1" x14ac:dyDescent="0.3">
      <c r="A8" s="31" t="s">
        <v>290</v>
      </c>
      <c r="B8" s="31" t="s">
        <v>58</v>
      </c>
      <c r="C8" s="38">
        <v>38212726</v>
      </c>
      <c r="D8" s="32" t="str">
        <f t="array" ref="D8">IF((RIGHT(10-MOD(SUM(--MID(TEXT(C8,"000000000"),{1,3,5,7},1),--RIGHT(MID(TEXT(C8,"000000000"),{2,4,6,8},1)*2),--LEFT(TEXT((MID(TEXT(C8,"000000000"),{2,4,6,8},1)*2),"00"))),10),1))=TEXT(VALUE(RIGHT(C8,1)),"0"),"תקין","מספר זהוי שגוי")</f>
        <v>תקין</v>
      </c>
      <c r="E8" s="31" t="s">
        <v>195</v>
      </c>
      <c r="F8" s="31" t="s">
        <v>200</v>
      </c>
      <c r="G8" s="31" t="s">
        <v>17</v>
      </c>
      <c r="H8" s="31" t="s">
        <v>18</v>
      </c>
      <c r="I8" s="31" t="s">
        <v>25</v>
      </c>
      <c r="J8" s="31">
        <v>8</v>
      </c>
      <c r="K8" s="31" t="s">
        <v>60</v>
      </c>
      <c r="L8" s="33">
        <v>31758</v>
      </c>
      <c r="M8" s="31" t="s">
        <v>29</v>
      </c>
      <c r="N8" s="34" t="s">
        <v>201</v>
      </c>
      <c r="O8" s="31" t="s">
        <v>139</v>
      </c>
      <c r="P8" s="31">
        <v>9</v>
      </c>
      <c r="Q8" s="31" t="s">
        <v>58</v>
      </c>
      <c r="R8" s="31" t="s">
        <v>62</v>
      </c>
      <c r="S8" s="31" t="s">
        <v>40</v>
      </c>
      <c r="T8" s="35">
        <v>1000</v>
      </c>
      <c r="U8" s="31" t="s">
        <v>288</v>
      </c>
      <c r="V8" s="31">
        <v>1186780037</v>
      </c>
      <c r="W8" s="36" t="str">
        <f t="shared" si="0"/>
        <v>תקין</v>
      </c>
      <c r="X8" s="37"/>
    </row>
    <row r="9" spans="1:31" s="31" customFormat="1" x14ac:dyDescent="0.3">
      <c r="A9" s="31" t="s">
        <v>290</v>
      </c>
      <c r="B9" s="31" t="s">
        <v>58</v>
      </c>
      <c r="C9" s="38">
        <v>38212726</v>
      </c>
      <c r="D9" s="32" t="str">
        <f t="array" ref="D9">IF((RIGHT(10-MOD(SUM(--MID(TEXT(C9,"000000000"),{1,3,5,7},1),--RIGHT(MID(TEXT(C9,"000000000"),{2,4,6,8},1)*2),--LEFT(TEXT((MID(TEXT(C9,"000000000"),{2,4,6,8},1)*2),"00"))),10),1))=TEXT(VALUE(RIGHT(C9,1)),"0"),"תקין","מספר זהוי שגוי")</f>
        <v>תקין</v>
      </c>
      <c r="E9" s="31" t="s">
        <v>195</v>
      </c>
      <c r="F9" s="31" t="s">
        <v>200</v>
      </c>
      <c r="G9" s="31" t="s">
        <v>17</v>
      </c>
      <c r="H9" s="31" t="s">
        <v>18</v>
      </c>
      <c r="I9" s="31" t="s">
        <v>25</v>
      </c>
      <c r="J9" s="31">
        <v>8</v>
      </c>
      <c r="K9" s="31" t="s">
        <v>60</v>
      </c>
      <c r="L9" s="33">
        <v>31758</v>
      </c>
      <c r="M9" s="31" t="s">
        <v>29</v>
      </c>
      <c r="N9" s="34" t="s">
        <v>201</v>
      </c>
      <c r="O9" s="31" t="s">
        <v>139</v>
      </c>
      <c r="P9" s="31">
        <v>9</v>
      </c>
      <c r="Q9" s="31" t="s">
        <v>58</v>
      </c>
      <c r="R9" s="31" t="s">
        <v>61</v>
      </c>
      <c r="S9" s="31" t="s">
        <v>41</v>
      </c>
      <c r="T9" s="35">
        <v>1000</v>
      </c>
      <c r="U9" s="31" t="s">
        <v>288</v>
      </c>
      <c r="V9" s="31">
        <v>1186780029</v>
      </c>
      <c r="W9" s="36" t="str">
        <f t="shared" si="0"/>
        <v>תקין</v>
      </c>
      <c r="X9" s="37"/>
    </row>
    <row r="10" spans="1:31" s="31" customFormat="1" x14ac:dyDescent="0.3">
      <c r="A10" s="31" t="s">
        <v>290</v>
      </c>
      <c r="B10" s="31" t="s">
        <v>58</v>
      </c>
      <c r="C10" s="38">
        <v>40776114</v>
      </c>
      <c r="D10" s="32" t="str">
        <f t="array" ref="D10">IF((RIGHT(10-MOD(SUM(--MID(TEXT(C10,"000000000"),{1,3,5,7},1),--RIGHT(MID(TEXT(C10,"000000000"),{2,4,6,8},1)*2),--LEFT(TEXT((MID(TEXT(C10,"000000000"),{2,4,6,8},1)*2),"00"))),10),1))=TEXT(VALUE(RIGHT(C10,1)),"0"),"תקין","מספר זהוי שגוי")</f>
        <v>תקין</v>
      </c>
      <c r="E10" s="31" t="s">
        <v>202</v>
      </c>
      <c r="F10" s="31" t="s">
        <v>203</v>
      </c>
      <c r="G10" s="31" t="s">
        <v>17</v>
      </c>
      <c r="H10" s="31" t="s">
        <v>18</v>
      </c>
      <c r="I10" s="31" t="s">
        <v>25</v>
      </c>
      <c r="J10" s="31">
        <v>5</v>
      </c>
      <c r="K10" s="31" t="s">
        <v>60</v>
      </c>
      <c r="L10" s="33">
        <v>29643</v>
      </c>
      <c r="M10" s="31" t="s">
        <v>29</v>
      </c>
      <c r="N10" s="34" t="s">
        <v>204</v>
      </c>
      <c r="O10" s="31" t="s">
        <v>76</v>
      </c>
      <c r="P10" s="31">
        <v>5</v>
      </c>
      <c r="Q10" s="31" t="s">
        <v>58</v>
      </c>
      <c r="R10" s="31" t="s">
        <v>61</v>
      </c>
      <c r="S10" s="31" t="s">
        <v>41</v>
      </c>
      <c r="T10" s="35">
        <v>1000</v>
      </c>
      <c r="U10" s="31" t="s">
        <v>288</v>
      </c>
      <c r="V10" s="31">
        <v>1186780010</v>
      </c>
      <c r="W10" s="36" t="str">
        <f t="shared" si="0"/>
        <v>תקין</v>
      </c>
      <c r="X10" s="37"/>
    </row>
    <row r="11" spans="1:31" s="31" customFormat="1" x14ac:dyDescent="0.3">
      <c r="A11" s="31" t="s">
        <v>290</v>
      </c>
      <c r="B11" s="31" t="s">
        <v>58</v>
      </c>
      <c r="C11" s="38">
        <v>200400638</v>
      </c>
      <c r="D11" s="32" t="str">
        <f t="array" ref="D11">IF((RIGHT(10-MOD(SUM(--MID(TEXT(C11,"000000000"),{1,3,5,7},1),--RIGHT(MID(TEXT(C11,"000000000"),{2,4,6,8},1)*2),--LEFT(TEXT((MID(TEXT(C11,"000000000"),{2,4,6,8},1)*2),"00"))),10),1))=TEXT(VALUE(RIGHT(C11,1)),"0"),"תקין","מספר זהוי שגוי")</f>
        <v>תקין</v>
      </c>
      <c r="E11" s="31" t="s">
        <v>205</v>
      </c>
      <c r="F11" s="31" t="s">
        <v>206</v>
      </c>
      <c r="G11" s="31" t="s">
        <v>16</v>
      </c>
      <c r="H11" s="31" t="s">
        <v>18</v>
      </c>
      <c r="I11" s="31" t="s">
        <v>26</v>
      </c>
      <c r="J11" s="31">
        <v>6</v>
      </c>
      <c r="K11" s="31" t="s">
        <v>60</v>
      </c>
      <c r="L11" s="33">
        <v>32236</v>
      </c>
      <c r="M11" s="31" t="s">
        <v>29</v>
      </c>
      <c r="N11" s="34">
        <v>500000000</v>
      </c>
      <c r="O11" s="31" t="s">
        <v>207</v>
      </c>
      <c r="P11" s="31">
        <v>6</v>
      </c>
      <c r="Q11" s="31" t="s">
        <v>58</v>
      </c>
      <c r="R11" s="31" t="s">
        <v>62</v>
      </c>
      <c r="S11" s="31" t="s">
        <v>40</v>
      </c>
      <c r="T11" s="35">
        <v>1000</v>
      </c>
      <c r="U11" s="31" t="s">
        <v>288</v>
      </c>
      <c r="V11" s="31">
        <v>1186780002</v>
      </c>
      <c r="W11" s="36" t="str">
        <f t="shared" si="0"/>
        <v>תקין</v>
      </c>
      <c r="X11" s="37"/>
    </row>
    <row r="12" spans="1:31" s="31" customFormat="1" x14ac:dyDescent="0.3">
      <c r="A12" s="31" t="s">
        <v>290</v>
      </c>
      <c r="B12" s="31" t="s">
        <v>58</v>
      </c>
      <c r="C12" s="38">
        <v>213289630</v>
      </c>
      <c r="D12" s="32" t="str">
        <f t="array" ref="D12">IF((RIGHT(10-MOD(SUM(--MID(TEXT(C12,"000000000"),{1,3,5,7},1),--RIGHT(MID(TEXT(C12,"000000000"),{2,4,6,8},1)*2),--LEFT(TEXT((MID(TEXT(C12,"000000000"),{2,4,6,8},1)*2),"00"))),10),1))=TEXT(VALUE(RIGHT(C12,1)),"0"),"תקין","מספר זהוי שגוי")</f>
        <v>תקין</v>
      </c>
      <c r="E12" s="31" t="s">
        <v>208</v>
      </c>
      <c r="F12" s="31" t="s">
        <v>209</v>
      </c>
      <c r="G12" s="31" t="s">
        <v>16</v>
      </c>
      <c r="H12" s="31" t="s">
        <v>18</v>
      </c>
      <c r="I12" s="31" t="s">
        <v>26</v>
      </c>
      <c r="J12" s="31">
        <v>2</v>
      </c>
      <c r="K12" s="31" t="s">
        <v>60</v>
      </c>
      <c r="L12" s="33">
        <v>37571</v>
      </c>
      <c r="M12" s="31" t="s">
        <v>29</v>
      </c>
      <c r="N12" s="34">
        <v>500000000</v>
      </c>
      <c r="O12" s="31" t="s">
        <v>83</v>
      </c>
      <c r="P12" s="31">
        <v>42</v>
      </c>
      <c r="Q12" s="31" t="s">
        <v>58</v>
      </c>
      <c r="R12" s="31" t="s">
        <v>61</v>
      </c>
      <c r="S12" s="31" t="s">
        <v>41</v>
      </c>
      <c r="T12" s="35">
        <v>1000</v>
      </c>
      <c r="U12" s="31" t="s">
        <v>288</v>
      </c>
      <c r="V12" s="31">
        <v>1186779993</v>
      </c>
      <c r="W12" s="36" t="str">
        <f t="shared" si="0"/>
        <v>תקין</v>
      </c>
      <c r="X12" s="37"/>
    </row>
    <row r="13" spans="1:31" s="31" customFormat="1" x14ac:dyDescent="0.3">
      <c r="A13" s="31" t="s">
        <v>290</v>
      </c>
      <c r="B13" s="31" t="s">
        <v>58</v>
      </c>
      <c r="C13" s="38">
        <v>33291550</v>
      </c>
      <c r="D13" s="32" t="str">
        <f t="array" ref="D13">IF((RIGHT(10-MOD(SUM(--MID(TEXT(C13,"000000000"),{1,3,5,7},1),--RIGHT(MID(TEXT(C13,"000000000"),{2,4,6,8},1)*2),--LEFT(TEXT((MID(TEXT(C13,"000000000"),{2,4,6,8},1)*2),"00"))),10),1))=TEXT(VALUE(RIGHT(C13,1)),"0"),"תקין","מספר זהוי שגוי")</f>
        <v>תקין</v>
      </c>
      <c r="E13" s="31" t="s">
        <v>213</v>
      </c>
      <c r="F13" s="31" t="s">
        <v>214</v>
      </c>
      <c r="G13" s="31" t="s">
        <v>16</v>
      </c>
      <c r="H13" s="31" t="s">
        <v>18</v>
      </c>
      <c r="I13" s="31" t="s">
        <v>26</v>
      </c>
      <c r="J13" s="31">
        <v>4</v>
      </c>
      <c r="K13" s="31" t="s">
        <v>60</v>
      </c>
      <c r="L13" s="33">
        <v>28177</v>
      </c>
      <c r="M13" s="31" t="s">
        <v>29</v>
      </c>
      <c r="N13" s="34" t="s">
        <v>215</v>
      </c>
      <c r="O13" s="31" t="s">
        <v>58</v>
      </c>
      <c r="P13" s="31">
        <v>16</v>
      </c>
      <c r="Q13" s="31" t="s">
        <v>58</v>
      </c>
      <c r="R13" s="31" t="s">
        <v>62</v>
      </c>
      <c r="S13" s="31" t="s">
        <v>40</v>
      </c>
      <c r="T13" s="35">
        <v>500</v>
      </c>
      <c r="U13" s="31" t="s">
        <v>288</v>
      </c>
      <c r="V13" s="31">
        <v>1186779969</v>
      </c>
      <c r="W13" s="36" t="str">
        <f t="shared" si="0"/>
        <v>תקין</v>
      </c>
      <c r="X13" s="37"/>
    </row>
    <row r="14" spans="1:31" s="31" customFormat="1" x14ac:dyDescent="0.3">
      <c r="A14" s="31" t="s">
        <v>290</v>
      </c>
      <c r="B14" s="31" t="s">
        <v>58</v>
      </c>
      <c r="C14" s="38">
        <v>316332287</v>
      </c>
      <c r="D14" s="32" t="str">
        <f t="array" ref="D14">IF((RIGHT(10-MOD(SUM(--MID(TEXT(C14,"000000000"),{1,3,5,7},1),--RIGHT(MID(TEXT(C14,"000000000"),{2,4,6,8},1)*2),--LEFT(TEXT((MID(TEXT(C14,"000000000"),{2,4,6,8},1)*2),"00"))),10),1))=TEXT(VALUE(RIGHT(C14,1)),"0"),"תקין","מספר זהוי שגוי")</f>
        <v>תקין</v>
      </c>
      <c r="E14" s="31" t="s">
        <v>216</v>
      </c>
      <c r="F14" s="31" t="s">
        <v>217</v>
      </c>
      <c r="G14" s="31" t="s">
        <v>16</v>
      </c>
      <c r="H14" s="31" t="s">
        <v>18</v>
      </c>
      <c r="I14" s="31" t="s">
        <v>26</v>
      </c>
      <c r="J14" s="31">
        <v>5</v>
      </c>
      <c r="K14" s="31" t="s">
        <v>60</v>
      </c>
      <c r="L14" s="33">
        <v>35199</v>
      </c>
      <c r="M14" s="31" t="s">
        <v>29</v>
      </c>
      <c r="N14" s="34">
        <v>500000000</v>
      </c>
      <c r="O14" s="31" t="s">
        <v>99</v>
      </c>
      <c r="P14" s="31">
        <v>20</v>
      </c>
      <c r="Q14" s="31" t="s">
        <v>58</v>
      </c>
      <c r="R14" s="31" t="s">
        <v>61</v>
      </c>
      <c r="S14" s="31" t="s">
        <v>41</v>
      </c>
      <c r="T14" s="35">
        <v>1000</v>
      </c>
      <c r="U14" s="31" t="s">
        <v>288</v>
      </c>
      <c r="V14" s="31">
        <v>1186779950</v>
      </c>
      <c r="W14" s="36" t="str">
        <f t="shared" si="0"/>
        <v>תקין</v>
      </c>
      <c r="X14" s="37"/>
    </row>
    <row r="15" spans="1:31" s="31" customFormat="1" x14ac:dyDescent="0.3">
      <c r="A15" s="31" t="s">
        <v>290</v>
      </c>
      <c r="B15" s="31" t="s">
        <v>58</v>
      </c>
      <c r="C15" s="38">
        <v>205698236</v>
      </c>
      <c r="D15" s="32" t="str">
        <f t="array" ref="D15">IF((RIGHT(10-MOD(SUM(--MID(TEXT(C15,"000000000"),{1,3,5,7},1),--RIGHT(MID(TEXT(C15,"000000000"),{2,4,6,8},1)*2),--LEFT(TEXT((MID(TEXT(C15,"000000000"),{2,4,6,8},1)*2),"00"))),10),1))=TEXT(VALUE(RIGHT(C15,1)),"0"),"תקין","מספר זהוי שגוי")</f>
        <v>תקין</v>
      </c>
      <c r="E15" s="31" t="s">
        <v>246</v>
      </c>
      <c r="F15" s="31" t="s">
        <v>247</v>
      </c>
      <c r="G15" s="31" t="s">
        <v>17</v>
      </c>
      <c r="H15" s="31" t="s">
        <v>18</v>
      </c>
      <c r="I15" s="31" t="s">
        <v>25</v>
      </c>
      <c r="J15" s="31">
        <v>5</v>
      </c>
      <c r="K15" s="31" t="s">
        <v>60</v>
      </c>
      <c r="L15" s="33">
        <v>34635</v>
      </c>
      <c r="M15" s="31" t="s">
        <v>29</v>
      </c>
      <c r="N15" s="34">
        <v>527167605</v>
      </c>
      <c r="O15" s="31" t="s">
        <v>248</v>
      </c>
      <c r="P15" s="31">
        <v>20</v>
      </c>
      <c r="Q15" s="31" t="s">
        <v>58</v>
      </c>
      <c r="R15" s="31" t="s">
        <v>61</v>
      </c>
      <c r="S15" s="31" t="s">
        <v>41</v>
      </c>
      <c r="T15" s="35">
        <v>500</v>
      </c>
      <c r="U15" s="31" t="s">
        <v>288</v>
      </c>
      <c r="V15" s="31">
        <v>1186779829</v>
      </c>
      <c r="W15" s="36" t="str">
        <f t="shared" si="0"/>
        <v>תקין</v>
      </c>
      <c r="X15" s="37"/>
    </row>
    <row r="16" spans="1:31" s="31" customFormat="1" x14ac:dyDescent="0.3">
      <c r="A16" s="31" t="s">
        <v>290</v>
      </c>
      <c r="B16" s="31" t="s">
        <v>58</v>
      </c>
      <c r="C16" s="38">
        <v>25090770</v>
      </c>
      <c r="D16" s="32" t="str">
        <f t="array" ref="D16">IF((RIGHT(10-MOD(SUM(--MID(TEXT(C16,"000000000"),{1,3,5,7},1),--RIGHT(MID(TEXT(C16,"000000000"),{2,4,6,8},1)*2),--LEFT(TEXT((MID(TEXT(C16,"000000000"),{2,4,6,8},1)*2),"00"))),10),1))=TEXT(VALUE(RIGHT(C16,1)),"0"),"תקין","מספר זהוי שגוי")</f>
        <v>תקין</v>
      </c>
      <c r="E16" s="31" t="s">
        <v>166</v>
      </c>
      <c r="F16" s="31" t="s">
        <v>167</v>
      </c>
      <c r="G16" s="31" t="s">
        <v>17</v>
      </c>
      <c r="H16" s="31" t="s">
        <v>18</v>
      </c>
      <c r="I16" s="31" t="s">
        <v>26</v>
      </c>
      <c r="J16" s="31">
        <v>6</v>
      </c>
      <c r="K16" s="31" t="s">
        <v>60</v>
      </c>
      <c r="L16" s="33">
        <v>26693</v>
      </c>
      <c r="M16" s="31" t="s">
        <v>29</v>
      </c>
      <c r="N16" s="34">
        <v>556623745</v>
      </c>
      <c r="O16" s="31" t="s">
        <v>135</v>
      </c>
      <c r="P16" s="31">
        <v>14</v>
      </c>
      <c r="Q16" s="31" t="s">
        <v>58</v>
      </c>
      <c r="R16" s="31" t="s">
        <v>61</v>
      </c>
      <c r="S16" s="31" t="s">
        <v>41</v>
      </c>
      <c r="T16" s="35">
        <v>500</v>
      </c>
      <c r="U16" s="31" t="s">
        <v>288</v>
      </c>
      <c r="V16" s="31">
        <v>1186781173</v>
      </c>
      <c r="W16" s="36" t="str">
        <f t="shared" si="0"/>
        <v>תקין</v>
      </c>
      <c r="X16" s="37"/>
    </row>
    <row r="17" spans="1:24" s="31" customFormat="1" x14ac:dyDescent="0.3">
      <c r="A17" s="31" t="s">
        <v>290</v>
      </c>
      <c r="B17" s="31" t="s">
        <v>58</v>
      </c>
      <c r="C17" s="38">
        <v>28750107</v>
      </c>
      <c r="D17" s="32" t="str">
        <f t="array" ref="D17">IF((RIGHT(10-MOD(SUM(--MID(TEXT(C17,"000000000"),{1,3,5,7},1),--RIGHT(MID(TEXT(C17,"000000000"),{2,4,6,8},1)*2),--LEFT(TEXT((MID(TEXT(C17,"000000000"),{2,4,6,8},1)*2),"00"))),10),1))=TEXT(VALUE(RIGHT(C17,1)),"0"),"תקין","מספר זהוי שגוי")</f>
        <v>תקין</v>
      </c>
      <c r="E17" s="31" t="s">
        <v>168</v>
      </c>
      <c r="F17" s="31" t="s">
        <v>169</v>
      </c>
      <c r="G17" s="31" t="s">
        <v>16</v>
      </c>
      <c r="H17" s="31" t="s">
        <v>18</v>
      </c>
      <c r="I17" s="31" t="s">
        <v>26</v>
      </c>
      <c r="J17" s="31">
        <v>3</v>
      </c>
      <c r="K17" s="31" t="s">
        <v>60</v>
      </c>
      <c r="L17" s="33">
        <v>26164</v>
      </c>
      <c r="M17" s="31" t="s">
        <v>29</v>
      </c>
      <c r="N17" s="34" t="s">
        <v>170</v>
      </c>
      <c r="O17" s="31" t="s">
        <v>171</v>
      </c>
      <c r="P17" s="31">
        <v>3</v>
      </c>
      <c r="Q17" s="31" t="s">
        <v>58</v>
      </c>
      <c r="R17" s="31" t="s">
        <v>61</v>
      </c>
      <c r="S17" s="31" t="s">
        <v>41</v>
      </c>
      <c r="T17" s="35">
        <v>312</v>
      </c>
      <c r="U17" s="31" t="s">
        <v>288</v>
      </c>
      <c r="V17" s="31">
        <v>1186781181</v>
      </c>
      <c r="W17" s="36" t="str">
        <f t="shared" si="0"/>
        <v>תקין</v>
      </c>
      <c r="X17" s="37"/>
    </row>
    <row r="18" spans="1:24" x14ac:dyDescent="0.3">
      <c r="A18" s="19" t="s">
        <v>289</v>
      </c>
      <c r="B18" t="s">
        <v>58</v>
      </c>
      <c r="C18" s="28">
        <v>25157827</v>
      </c>
      <c r="D18" s="14" t="str">
        <f t="array" ref="D18">IF((RIGHT(10-MOD(SUM(--MID(TEXT(C18,"000000000"),{1,3,5,7},1),--RIGHT(MID(TEXT(C18,"000000000"),{2,4,6,8},1)*2),--LEFT(TEXT((MID(TEXT(C18,"000000000"),{2,4,6,8},1)*2),"00"))),10),1))=TEXT(VALUE(RIGHT(C18,1)),"0"),"תקין","מספר זהוי שגוי")</f>
        <v>תקין</v>
      </c>
      <c r="E18" t="s">
        <v>58</v>
      </c>
      <c r="F18" t="s">
        <v>210</v>
      </c>
      <c r="G18" t="s">
        <v>17</v>
      </c>
      <c r="H18" t="s">
        <v>18</v>
      </c>
      <c r="I18" t="s">
        <v>25</v>
      </c>
      <c r="J18">
        <v>4</v>
      </c>
      <c r="K18" t="s">
        <v>60</v>
      </c>
      <c r="L18" s="12">
        <v>26723</v>
      </c>
      <c r="M18" t="s">
        <v>29</v>
      </c>
      <c r="N18" s="29" t="s">
        <v>211</v>
      </c>
      <c r="O18" t="s">
        <v>212</v>
      </c>
      <c r="P18">
        <v>1</v>
      </c>
      <c r="Q18" t="s">
        <v>58</v>
      </c>
      <c r="R18" t="s">
        <v>61</v>
      </c>
      <c r="S18" t="s">
        <v>41</v>
      </c>
      <c r="T18" s="13">
        <v>1000</v>
      </c>
      <c r="U18" t="s">
        <v>288</v>
      </c>
      <c r="V18">
        <v>1186779985</v>
      </c>
      <c r="W18" s="15" t="str">
        <f t="shared" si="0"/>
        <v>תקין</v>
      </c>
      <c r="X18" s="17"/>
    </row>
    <row r="19" spans="1:24" x14ac:dyDescent="0.3">
      <c r="A19" s="19" t="s">
        <v>289</v>
      </c>
      <c r="B19" t="s">
        <v>58</v>
      </c>
      <c r="C19" s="28">
        <v>300647690</v>
      </c>
      <c r="D19" s="14" t="str">
        <f t="array" ref="D19">IF((RIGHT(10-MOD(SUM(--MID(TEXT(C19,"000000000"),{1,3,5,7},1),--RIGHT(MID(TEXT(C19,"000000000"),{2,4,6,8},1)*2),--LEFT(TEXT((MID(TEXT(C19,"000000000"),{2,4,6,8},1)*2),"00"))),10),1))=TEXT(VALUE(RIGHT(C19,1)),"0"),"תקין","מספר זהוי שגוי")</f>
        <v>תקין</v>
      </c>
      <c r="E19" t="s">
        <v>63</v>
      </c>
      <c r="F19" t="s">
        <v>64</v>
      </c>
      <c r="G19" t="s">
        <v>16</v>
      </c>
      <c r="H19" t="s">
        <v>18</v>
      </c>
      <c r="I19" t="s">
        <v>25</v>
      </c>
      <c r="J19">
        <v>4</v>
      </c>
      <c r="K19" t="s">
        <v>60</v>
      </c>
      <c r="L19" s="12">
        <v>31768</v>
      </c>
      <c r="M19" t="s">
        <v>29</v>
      </c>
      <c r="N19" s="29">
        <v>500000000</v>
      </c>
      <c r="O19" t="s">
        <v>65</v>
      </c>
      <c r="P19">
        <v>24</v>
      </c>
      <c r="Q19" t="s">
        <v>58</v>
      </c>
      <c r="R19" t="s">
        <v>62</v>
      </c>
      <c r="S19" t="s">
        <v>40</v>
      </c>
      <c r="T19" s="13">
        <v>700</v>
      </c>
      <c r="U19" t="s">
        <v>288</v>
      </c>
      <c r="V19">
        <v>1186779977</v>
      </c>
      <c r="W19" s="15" t="str">
        <f t="shared" si="0"/>
        <v>תקין</v>
      </c>
      <c r="X19" s="17"/>
    </row>
    <row r="20" spans="1:24" x14ac:dyDescent="0.3">
      <c r="A20" s="19" t="s">
        <v>289</v>
      </c>
      <c r="B20" t="s">
        <v>58</v>
      </c>
      <c r="C20" s="28">
        <v>31846850</v>
      </c>
      <c r="D20" s="14" t="str">
        <f t="array" ref="D20">IF((RIGHT(10-MOD(SUM(--MID(TEXT(C20,"000000000"),{1,3,5,7},1),--RIGHT(MID(TEXT(C20,"000000000"),{2,4,6,8},1)*2),--LEFT(TEXT((MID(TEXT(C20,"000000000"),{2,4,6,8},1)*2),"00"))),10),1))=TEXT(VALUE(RIGHT(C20,1)),"0"),"תקין","מספר זהוי שגוי")</f>
        <v>תקין</v>
      </c>
      <c r="E20" t="s">
        <v>218</v>
      </c>
      <c r="F20" t="s">
        <v>219</v>
      </c>
      <c r="G20" t="s">
        <v>16</v>
      </c>
      <c r="H20" t="s">
        <v>18</v>
      </c>
      <c r="I20" t="s">
        <v>26</v>
      </c>
      <c r="J20">
        <v>3</v>
      </c>
      <c r="K20" t="s">
        <v>60</v>
      </c>
      <c r="L20" s="12">
        <v>27392</v>
      </c>
      <c r="M20" t="s">
        <v>29</v>
      </c>
      <c r="N20" s="29" t="s">
        <v>220</v>
      </c>
      <c r="O20" t="s">
        <v>99</v>
      </c>
      <c r="P20">
        <v>33</v>
      </c>
      <c r="Q20" t="s">
        <v>58</v>
      </c>
      <c r="R20" t="s">
        <v>61</v>
      </c>
      <c r="S20" t="s">
        <v>41</v>
      </c>
      <c r="T20" s="13">
        <v>600</v>
      </c>
      <c r="U20" t="s">
        <v>288</v>
      </c>
      <c r="V20">
        <v>1186779942</v>
      </c>
      <c r="W20" s="15" t="str">
        <f t="shared" si="0"/>
        <v>תקין</v>
      </c>
      <c r="X20" s="17"/>
    </row>
    <row r="21" spans="1:24" x14ac:dyDescent="0.3">
      <c r="A21" s="19" t="s">
        <v>289</v>
      </c>
      <c r="B21" t="s">
        <v>58</v>
      </c>
      <c r="C21" s="28">
        <v>34247973</v>
      </c>
      <c r="D21" s="14" t="str">
        <f t="array" ref="D21">IF((RIGHT(10-MOD(SUM(--MID(TEXT(C21,"000000000"),{1,3,5,7},1),--RIGHT(MID(TEXT(C21,"000000000"),{2,4,6,8},1)*2),--LEFT(TEXT((MID(TEXT(C21,"000000000"),{2,4,6,8},1)*2),"00"))),10),1))=TEXT(VALUE(RIGHT(C21,1)),"0"),"תקין","מספר זהוי שגוי")</f>
        <v>תקין</v>
      </c>
      <c r="E21" t="s">
        <v>221</v>
      </c>
      <c r="F21" t="s">
        <v>222</v>
      </c>
      <c r="G21" t="s">
        <v>17</v>
      </c>
      <c r="H21" t="s">
        <v>18</v>
      </c>
      <c r="I21" t="s">
        <v>23</v>
      </c>
      <c r="J21">
        <v>0</v>
      </c>
      <c r="K21" t="s">
        <v>60</v>
      </c>
      <c r="L21" s="12">
        <v>28477</v>
      </c>
      <c r="M21" t="s">
        <v>29</v>
      </c>
      <c r="N21" s="29" t="s">
        <v>223</v>
      </c>
      <c r="O21" t="s">
        <v>65</v>
      </c>
      <c r="P21">
        <v>18</v>
      </c>
      <c r="Q21" t="s">
        <v>58</v>
      </c>
      <c r="R21" t="s">
        <v>61</v>
      </c>
      <c r="S21" t="s">
        <v>41</v>
      </c>
      <c r="T21" s="13">
        <v>500</v>
      </c>
      <c r="U21" t="s">
        <v>288</v>
      </c>
      <c r="V21">
        <v>1186779934</v>
      </c>
      <c r="W21" s="15" t="str">
        <f t="shared" si="0"/>
        <v>תקין</v>
      </c>
      <c r="X21" s="17"/>
    </row>
    <row r="22" spans="1:24" x14ac:dyDescent="0.3">
      <c r="A22" s="19" t="s">
        <v>289</v>
      </c>
      <c r="B22" t="s">
        <v>58</v>
      </c>
      <c r="C22" s="28">
        <v>36993582</v>
      </c>
      <c r="D22" s="14" t="str">
        <f t="array" ref="D22">IF((RIGHT(10-MOD(SUM(--MID(TEXT(C22,"000000000"),{1,3,5,7},1),--RIGHT(MID(TEXT(C22,"000000000"),{2,4,6,8},1)*2),--LEFT(TEXT((MID(TEXT(C22,"000000000"),{2,4,6,8},1)*2),"00"))),10),1))=TEXT(VALUE(RIGHT(C22,1)),"0"),"תקין","מספר זהוי שגוי")</f>
        <v>תקין</v>
      </c>
      <c r="E22" t="s">
        <v>224</v>
      </c>
      <c r="F22" t="s">
        <v>225</v>
      </c>
      <c r="G22" t="s">
        <v>17</v>
      </c>
      <c r="H22" t="s">
        <v>18</v>
      </c>
      <c r="I22" t="s">
        <v>25</v>
      </c>
      <c r="J22">
        <v>6</v>
      </c>
      <c r="K22" t="s">
        <v>60</v>
      </c>
      <c r="L22" s="12">
        <v>31186</v>
      </c>
      <c r="M22" t="s">
        <v>29</v>
      </c>
      <c r="N22" s="29" t="s">
        <v>226</v>
      </c>
      <c r="O22" t="s">
        <v>91</v>
      </c>
      <c r="P22">
        <v>48</v>
      </c>
      <c r="Q22" t="s">
        <v>58</v>
      </c>
      <c r="R22" t="s">
        <v>61</v>
      </c>
      <c r="S22" t="s">
        <v>41</v>
      </c>
      <c r="T22" s="13">
        <v>500</v>
      </c>
      <c r="U22" t="s">
        <v>288</v>
      </c>
      <c r="V22">
        <v>1186779918</v>
      </c>
      <c r="W22" s="15" t="str">
        <f t="shared" si="0"/>
        <v>תקין</v>
      </c>
      <c r="X22" s="17"/>
    </row>
    <row r="23" spans="1:24" x14ac:dyDescent="0.3">
      <c r="A23" s="19" t="s">
        <v>289</v>
      </c>
      <c r="B23" t="s">
        <v>58</v>
      </c>
      <c r="C23" s="28">
        <v>37816295</v>
      </c>
      <c r="D23" s="14" t="str">
        <f t="array" ref="D23">IF((RIGHT(10-MOD(SUM(--MID(TEXT(C23,"000000000"),{1,3,5,7},1),--RIGHT(MID(TEXT(C23,"000000000"),{2,4,6,8},1)*2),--LEFT(TEXT((MID(TEXT(C23,"000000000"),{2,4,6,8},1)*2),"00"))),10),1))=TEXT(VALUE(RIGHT(C23,1)),"0"),"תקין","מספר זהוי שגוי")</f>
        <v>תקין</v>
      </c>
      <c r="E23" t="s">
        <v>227</v>
      </c>
      <c r="F23" t="s">
        <v>84</v>
      </c>
      <c r="G23" t="s">
        <v>17</v>
      </c>
      <c r="H23" t="s">
        <v>18</v>
      </c>
      <c r="I23" t="s">
        <v>25</v>
      </c>
      <c r="J23">
        <v>14</v>
      </c>
      <c r="K23" t="s">
        <v>60</v>
      </c>
      <c r="L23" s="12">
        <v>30613</v>
      </c>
      <c r="M23" t="s">
        <v>29</v>
      </c>
      <c r="N23" s="29" t="s">
        <v>228</v>
      </c>
      <c r="O23" t="s">
        <v>229</v>
      </c>
      <c r="P23">
        <v>25</v>
      </c>
      <c r="Q23" t="s">
        <v>58</v>
      </c>
      <c r="R23" t="s">
        <v>61</v>
      </c>
      <c r="S23" t="s">
        <v>41</v>
      </c>
      <c r="T23" s="13">
        <v>500</v>
      </c>
      <c r="U23" t="s">
        <v>288</v>
      </c>
      <c r="V23">
        <v>1186779926</v>
      </c>
      <c r="W23" s="15" t="str">
        <f t="shared" si="0"/>
        <v>תקין</v>
      </c>
      <c r="X23" s="17"/>
    </row>
    <row r="24" spans="1:24" x14ac:dyDescent="0.3">
      <c r="A24" s="19" t="s">
        <v>289</v>
      </c>
      <c r="B24" t="s">
        <v>58</v>
      </c>
      <c r="C24" s="28">
        <v>300884053</v>
      </c>
      <c r="D24" s="14" t="str">
        <f t="array" ref="D24">IF((RIGHT(10-MOD(SUM(--MID(TEXT(C24,"000000000"),{1,3,5,7},1),--RIGHT(MID(TEXT(C24,"000000000"),{2,4,6,8},1)*2),--LEFT(TEXT((MID(TEXT(C24,"000000000"),{2,4,6,8},1)*2),"00"))),10),1))=TEXT(VALUE(RIGHT(C24,1)),"0"),"תקין","מספר זהוי שגוי")</f>
        <v>תקין</v>
      </c>
      <c r="E24" t="s">
        <v>230</v>
      </c>
      <c r="F24" t="s">
        <v>231</v>
      </c>
      <c r="G24" t="s">
        <v>17</v>
      </c>
      <c r="H24" t="s">
        <v>18</v>
      </c>
      <c r="I24" t="s">
        <v>25</v>
      </c>
      <c r="J24">
        <v>8</v>
      </c>
      <c r="K24" t="s">
        <v>60</v>
      </c>
      <c r="L24" s="12">
        <v>31915</v>
      </c>
      <c r="M24" t="s">
        <v>29</v>
      </c>
      <c r="N24" s="29" t="s">
        <v>232</v>
      </c>
      <c r="O24" t="s">
        <v>58</v>
      </c>
      <c r="P24">
        <v>23</v>
      </c>
      <c r="Q24" t="s">
        <v>58</v>
      </c>
      <c r="R24" t="s">
        <v>61</v>
      </c>
      <c r="S24" t="s">
        <v>41</v>
      </c>
      <c r="T24" s="13">
        <v>500</v>
      </c>
      <c r="U24" t="s">
        <v>288</v>
      </c>
      <c r="V24">
        <v>1186779896</v>
      </c>
      <c r="W24" s="15" t="str">
        <f t="shared" si="0"/>
        <v>תקין</v>
      </c>
      <c r="X24" s="17"/>
    </row>
    <row r="25" spans="1:24" x14ac:dyDescent="0.3">
      <c r="A25" s="19" t="s">
        <v>289</v>
      </c>
      <c r="B25" t="s">
        <v>58</v>
      </c>
      <c r="C25" s="28">
        <v>313912222</v>
      </c>
      <c r="D25" s="14" t="str">
        <f t="array" ref="D25">IF((RIGHT(10-MOD(SUM(--MID(TEXT(C25,"000000000"),{1,3,5,7},1),--RIGHT(MID(TEXT(C25,"000000000"),{2,4,6,8},1)*2),--LEFT(TEXT((MID(TEXT(C25,"000000000"),{2,4,6,8},1)*2),"00"))),10),1))=TEXT(VALUE(RIGHT(C25,1)),"0"),"תקין","מספר זהוי שגוי")</f>
        <v>תקין</v>
      </c>
      <c r="E25" t="s">
        <v>233</v>
      </c>
      <c r="F25" t="s">
        <v>234</v>
      </c>
      <c r="G25" t="s">
        <v>17</v>
      </c>
      <c r="H25" t="s">
        <v>18</v>
      </c>
      <c r="I25" t="s">
        <v>25</v>
      </c>
      <c r="J25">
        <v>13</v>
      </c>
      <c r="K25" t="s">
        <v>177</v>
      </c>
      <c r="L25" s="12">
        <v>26931</v>
      </c>
      <c r="M25" t="s">
        <v>29</v>
      </c>
      <c r="N25" s="29" t="s">
        <v>235</v>
      </c>
      <c r="O25" t="s">
        <v>171</v>
      </c>
      <c r="P25">
        <v>5</v>
      </c>
      <c r="Q25" t="s">
        <v>58</v>
      </c>
      <c r="R25" t="s">
        <v>61</v>
      </c>
      <c r="S25" t="s">
        <v>41</v>
      </c>
      <c r="T25" s="13">
        <v>500</v>
      </c>
      <c r="U25" t="s">
        <v>288</v>
      </c>
      <c r="V25">
        <v>1186779888</v>
      </c>
      <c r="W25" s="16" t="str">
        <f t="shared" si="0"/>
        <v>תקין</v>
      </c>
      <c r="X25" s="17"/>
    </row>
    <row r="26" spans="1:24" x14ac:dyDescent="0.3">
      <c r="A26" s="19" t="s">
        <v>289</v>
      </c>
      <c r="B26" t="s">
        <v>58</v>
      </c>
      <c r="C26" s="28">
        <v>322353061</v>
      </c>
      <c r="D26" s="14" t="str">
        <f t="array" ref="D26">IF((RIGHT(10-MOD(SUM(--MID(TEXT(C26,"000000000"),{1,3,5,7},1),--RIGHT(MID(TEXT(C26,"000000000"),{2,4,6,8},1)*2),--LEFT(TEXT((MID(TEXT(C26,"000000000"),{2,4,6,8},1)*2),"00"))),10),1))=TEXT(VALUE(RIGHT(C26,1)),"0"),"תקין","מספר זהוי שגוי")</f>
        <v>תקין</v>
      </c>
      <c r="E26" t="s">
        <v>236</v>
      </c>
      <c r="F26" t="s">
        <v>237</v>
      </c>
      <c r="G26" t="s">
        <v>17</v>
      </c>
      <c r="H26" t="s">
        <v>18</v>
      </c>
      <c r="I26" t="s">
        <v>25</v>
      </c>
      <c r="J26">
        <v>3</v>
      </c>
      <c r="K26" t="s">
        <v>60</v>
      </c>
      <c r="L26" s="12">
        <v>36852</v>
      </c>
      <c r="M26" t="s">
        <v>29</v>
      </c>
      <c r="N26" s="29" t="s">
        <v>238</v>
      </c>
      <c r="O26" t="s">
        <v>239</v>
      </c>
      <c r="P26">
        <v>27</v>
      </c>
      <c r="Q26" t="s">
        <v>58</v>
      </c>
      <c r="R26" t="s">
        <v>61</v>
      </c>
      <c r="S26" t="s">
        <v>41</v>
      </c>
      <c r="T26" s="13">
        <v>700</v>
      </c>
      <c r="U26" t="s">
        <v>288</v>
      </c>
      <c r="V26">
        <v>1186779861</v>
      </c>
      <c r="W26" s="15" t="str">
        <f t="shared" si="0"/>
        <v>תקין</v>
      </c>
      <c r="X26" s="17"/>
    </row>
    <row r="27" spans="1:24" x14ac:dyDescent="0.3">
      <c r="A27" s="19" t="s">
        <v>289</v>
      </c>
      <c r="B27" t="s">
        <v>58</v>
      </c>
      <c r="C27" s="28">
        <v>24084675</v>
      </c>
      <c r="D27" s="14" t="str">
        <f t="array" ref="D27">IF((RIGHT(10-MOD(SUM(--MID(TEXT(C27,"000000000"),{1,3,5,7},1),--RIGHT(MID(TEXT(C27,"000000000"),{2,4,6,8},1)*2),--LEFT(TEXT((MID(TEXT(C27,"000000000"),{2,4,6,8},1)*2),"00"))),10),1))=TEXT(VALUE(RIGHT(C27,1)),"0"),"תקין","מספר זהוי שגוי")</f>
        <v>תקין</v>
      </c>
      <c r="E27" t="s">
        <v>249</v>
      </c>
      <c r="F27" t="s">
        <v>250</v>
      </c>
      <c r="G27" t="s">
        <v>17</v>
      </c>
      <c r="H27" t="s">
        <v>18</v>
      </c>
      <c r="I27" t="s">
        <v>26</v>
      </c>
      <c r="J27">
        <v>5</v>
      </c>
      <c r="K27" t="s">
        <v>60</v>
      </c>
      <c r="L27" s="12">
        <v>25305</v>
      </c>
      <c r="M27" t="s">
        <v>29</v>
      </c>
      <c r="N27" s="29">
        <v>500000000</v>
      </c>
      <c r="O27" t="s">
        <v>251</v>
      </c>
      <c r="P27">
        <v>14</v>
      </c>
      <c r="Q27" t="s">
        <v>58</v>
      </c>
      <c r="R27" t="s">
        <v>61</v>
      </c>
      <c r="S27" t="s">
        <v>41</v>
      </c>
      <c r="T27" s="13">
        <v>700</v>
      </c>
      <c r="U27" t="s">
        <v>288</v>
      </c>
      <c r="V27">
        <v>1186779810</v>
      </c>
      <c r="W27" s="15" t="str">
        <f t="shared" si="0"/>
        <v>תקין</v>
      </c>
      <c r="X27" s="17"/>
    </row>
    <row r="28" spans="1:24" x14ac:dyDescent="0.3">
      <c r="A28" s="19" t="s">
        <v>289</v>
      </c>
      <c r="B28" t="s">
        <v>58</v>
      </c>
      <c r="C28" s="28">
        <v>25369778</v>
      </c>
      <c r="D28" s="14" t="str">
        <f t="array" ref="D28">IF((RIGHT(10-MOD(SUM(--MID(TEXT(C28,"000000000"),{1,3,5,7},1),--RIGHT(MID(TEXT(C28,"000000000"),{2,4,6,8},1)*2),--LEFT(TEXT((MID(TEXT(C28,"000000000"),{2,4,6,8},1)*2),"00"))),10),1))=TEXT(VALUE(RIGHT(C28,1)),"0"),"תקין","מספר זהוי שגוי")</f>
        <v>תקין</v>
      </c>
      <c r="E28" t="s">
        <v>252</v>
      </c>
      <c r="F28" t="s">
        <v>253</v>
      </c>
      <c r="G28" t="s">
        <v>17</v>
      </c>
      <c r="H28" t="s">
        <v>18</v>
      </c>
      <c r="I28" t="s">
        <v>25</v>
      </c>
      <c r="J28">
        <v>7</v>
      </c>
      <c r="K28" t="s">
        <v>60</v>
      </c>
      <c r="L28" s="12">
        <v>26955</v>
      </c>
      <c r="M28" t="s">
        <v>29</v>
      </c>
      <c r="N28" s="29">
        <v>508944150</v>
      </c>
      <c r="O28" t="s">
        <v>105</v>
      </c>
      <c r="P28">
        <v>2</v>
      </c>
      <c r="Q28" t="s">
        <v>58</v>
      </c>
      <c r="R28" t="s">
        <v>61</v>
      </c>
      <c r="S28" t="s">
        <v>41</v>
      </c>
      <c r="T28" s="13">
        <v>500</v>
      </c>
      <c r="U28" t="s">
        <v>288</v>
      </c>
      <c r="V28">
        <v>1186779802</v>
      </c>
      <c r="W28" s="15" t="str">
        <f t="shared" si="0"/>
        <v>תקין</v>
      </c>
      <c r="X28" s="17"/>
    </row>
    <row r="29" spans="1:24" x14ac:dyDescent="0.3">
      <c r="A29" s="19" t="s">
        <v>289</v>
      </c>
      <c r="B29" t="s">
        <v>58</v>
      </c>
      <c r="C29" s="28">
        <v>25655978</v>
      </c>
      <c r="D29" s="14" t="str">
        <f t="array" ref="D29">IF((RIGHT(10-MOD(SUM(--MID(TEXT(C29,"000000000"),{1,3,5,7},1),--RIGHT(MID(TEXT(C29,"000000000"),{2,4,6,8},1)*2),--LEFT(TEXT((MID(TEXT(C29,"000000000"),{2,4,6,8},1)*2),"00"))),10),1))=TEXT(VALUE(RIGHT(C29,1)),"0"),"תקין","מספר זהוי שגוי")</f>
        <v>תקין</v>
      </c>
      <c r="E29" t="s">
        <v>70</v>
      </c>
      <c r="F29" t="s">
        <v>71</v>
      </c>
      <c r="G29" t="s">
        <v>17</v>
      </c>
      <c r="H29" t="s">
        <v>18</v>
      </c>
      <c r="I29" t="s">
        <v>27</v>
      </c>
      <c r="J29">
        <v>1</v>
      </c>
      <c r="K29" t="s">
        <v>60</v>
      </c>
      <c r="L29" s="12">
        <v>27065</v>
      </c>
      <c r="M29" t="s">
        <v>29</v>
      </c>
      <c r="N29" s="29" t="s">
        <v>72</v>
      </c>
      <c r="O29" t="s">
        <v>73</v>
      </c>
      <c r="P29">
        <v>20</v>
      </c>
      <c r="Q29" t="s">
        <v>58</v>
      </c>
      <c r="R29" t="s">
        <v>61</v>
      </c>
      <c r="S29" t="s">
        <v>41</v>
      </c>
      <c r="T29" s="13">
        <v>500</v>
      </c>
      <c r="U29" t="s">
        <v>288</v>
      </c>
      <c r="V29">
        <v>1186780517</v>
      </c>
      <c r="W29" s="15" t="str">
        <f t="shared" si="0"/>
        <v>תקין</v>
      </c>
      <c r="X29" s="17"/>
    </row>
    <row r="30" spans="1:24" x14ac:dyDescent="0.3">
      <c r="A30" s="19" t="s">
        <v>289</v>
      </c>
      <c r="B30" t="s">
        <v>58</v>
      </c>
      <c r="C30" s="28">
        <v>27147818</v>
      </c>
      <c r="D30" s="14" t="str">
        <f t="array" ref="D30">IF((RIGHT(10-MOD(SUM(--MID(TEXT(C30,"000000000"),{1,3,5,7},1),--RIGHT(MID(TEXT(C30,"000000000"),{2,4,6,8},1)*2),--LEFT(TEXT((MID(TEXT(C30,"000000000"),{2,4,6,8},1)*2),"00"))),10),1))=TEXT(VALUE(RIGHT(C30,1)),"0"),"תקין","מספר זהוי שגוי")</f>
        <v>תקין</v>
      </c>
      <c r="E30" t="s">
        <v>254</v>
      </c>
      <c r="F30" t="s">
        <v>255</v>
      </c>
      <c r="G30" t="s">
        <v>17</v>
      </c>
      <c r="H30" t="s">
        <v>18</v>
      </c>
      <c r="I30" t="s">
        <v>25</v>
      </c>
      <c r="J30">
        <v>8</v>
      </c>
      <c r="K30" t="s">
        <v>60</v>
      </c>
      <c r="L30" s="12">
        <v>27082</v>
      </c>
      <c r="M30" t="s">
        <v>29</v>
      </c>
      <c r="N30" s="29" t="s">
        <v>256</v>
      </c>
      <c r="O30" t="s">
        <v>248</v>
      </c>
      <c r="P30">
        <v>12</v>
      </c>
      <c r="Q30" t="s">
        <v>58</v>
      </c>
      <c r="R30" t="s">
        <v>61</v>
      </c>
      <c r="S30" t="s">
        <v>41</v>
      </c>
      <c r="T30" s="13">
        <v>500</v>
      </c>
      <c r="U30" t="s">
        <v>288</v>
      </c>
      <c r="V30">
        <v>1186780525</v>
      </c>
      <c r="W30" s="15" t="str">
        <f t="shared" si="0"/>
        <v>תקין</v>
      </c>
      <c r="X30" s="17"/>
    </row>
    <row r="31" spans="1:24" x14ac:dyDescent="0.3">
      <c r="A31" s="19" t="s">
        <v>289</v>
      </c>
      <c r="B31" t="s">
        <v>58</v>
      </c>
      <c r="C31" s="28">
        <v>27281096</v>
      </c>
      <c r="D31" s="14" t="str">
        <f t="array" ref="D31">IF((RIGHT(10-MOD(SUM(--MID(TEXT(C31,"000000000"),{1,3,5,7},1),--RIGHT(MID(TEXT(C31,"000000000"),{2,4,6,8},1)*2),--LEFT(TEXT((MID(TEXT(C31,"000000000"),{2,4,6,8},1)*2),"00"))),10),1))=TEXT(VALUE(RIGHT(C31,1)),"0"),"תקין","מספר זהוי שגוי")</f>
        <v>תקין</v>
      </c>
      <c r="E31" t="s">
        <v>257</v>
      </c>
      <c r="F31" t="s">
        <v>258</v>
      </c>
      <c r="G31" t="s">
        <v>17</v>
      </c>
      <c r="H31" t="s">
        <v>18</v>
      </c>
      <c r="I31" t="s">
        <v>25</v>
      </c>
      <c r="J31">
        <v>10</v>
      </c>
      <c r="K31" t="s">
        <v>60</v>
      </c>
      <c r="L31" s="12">
        <v>27077</v>
      </c>
      <c r="M31" t="s">
        <v>29</v>
      </c>
      <c r="N31" s="29">
        <v>548345453</v>
      </c>
      <c r="O31" t="s">
        <v>68</v>
      </c>
      <c r="P31">
        <v>20</v>
      </c>
      <c r="Q31" t="s">
        <v>58</v>
      </c>
      <c r="R31" t="s">
        <v>61</v>
      </c>
      <c r="S31" t="s">
        <v>41</v>
      </c>
      <c r="T31" s="13">
        <v>500</v>
      </c>
      <c r="U31" t="s">
        <v>288</v>
      </c>
      <c r="V31">
        <v>1186780533</v>
      </c>
      <c r="W31" s="15" t="str">
        <f t="shared" si="0"/>
        <v>תקין</v>
      </c>
      <c r="X31" s="17"/>
    </row>
    <row r="32" spans="1:24" x14ac:dyDescent="0.3">
      <c r="A32" s="19" t="s">
        <v>289</v>
      </c>
      <c r="B32" t="s">
        <v>58</v>
      </c>
      <c r="C32" s="28">
        <v>28618346</v>
      </c>
      <c r="D32" s="14" t="str">
        <f t="array" ref="D32">IF((RIGHT(10-MOD(SUM(--MID(TEXT(C32,"000000000"),{1,3,5,7},1),--RIGHT(MID(TEXT(C32,"000000000"),{2,4,6,8},1)*2),--LEFT(TEXT((MID(TEXT(C32,"000000000"),{2,4,6,8},1)*2),"00"))),10),1))=TEXT(VALUE(RIGHT(C32,1)),"0"),"תקין","מספר זהוי שגוי")</f>
        <v>תקין</v>
      </c>
      <c r="E32" t="s">
        <v>259</v>
      </c>
      <c r="F32" t="s">
        <v>86</v>
      </c>
      <c r="G32" t="s">
        <v>17</v>
      </c>
      <c r="H32" t="s">
        <v>18</v>
      </c>
      <c r="I32" t="s">
        <v>25</v>
      </c>
      <c r="J32">
        <v>5</v>
      </c>
      <c r="K32" t="s">
        <v>60</v>
      </c>
      <c r="L32" s="12">
        <v>26031</v>
      </c>
      <c r="M32" t="s">
        <v>29</v>
      </c>
      <c r="N32" s="29" t="s">
        <v>260</v>
      </c>
      <c r="O32" t="s">
        <v>99</v>
      </c>
      <c r="P32">
        <v>12</v>
      </c>
      <c r="Q32" t="s">
        <v>58</v>
      </c>
      <c r="R32" t="s">
        <v>61</v>
      </c>
      <c r="S32" t="s">
        <v>41</v>
      </c>
      <c r="T32" s="13">
        <v>500</v>
      </c>
      <c r="U32" t="s">
        <v>288</v>
      </c>
      <c r="V32">
        <v>1186780541</v>
      </c>
      <c r="W32" s="15" t="str">
        <f t="shared" si="0"/>
        <v>תקין</v>
      </c>
      <c r="X32" s="17"/>
    </row>
    <row r="33" spans="1:25" x14ac:dyDescent="0.3">
      <c r="A33" s="19" t="s">
        <v>289</v>
      </c>
      <c r="B33" t="s">
        <v>58</v>
      </c>
      <c r="C33" s="28">
        <v>32231953</v>
      </c>
      <c r="D33" s="14" t="str">
        <f t="array" ref="D33">IF((RIGHT(10-MOD(SUM(--MID(TEXT(C33,"000000000"),{1,3,5,7},1),--RIGHT(MID(TEXT(C33,"000000000"),{2,4,6,8},1)*2),--LEFT(TEXT((MID(TEXT(C33,"000000000"),{2,4,6,8},1)*2),"00"))),10),1))=TEXT(VALUE(RIGHT(C33,1)),"0"),"תקין","מספר זהוי שגוי")</f>
        <v>תקין</v>
      </c>
      <c r="E33" t="s">
        <v>261</v>
      </c>
      <c r="F33" t="s">
        <v>262</v>
      </c>
      <c r="G33" t="s">
        <v>16</v>
      </c>
      <c r="H33" t="s">
        <v>18</v>
      </c>
      <c r="I33" t="s">
        <v>27</v>
      </c>
      <c r="J33">
        <v>3</v>
      </c>
      <c r="K33" t="s">
        <v>60</v>
      </c>
      <c r="L33" s="12">
        <v>27505</v>
      </c>
      <c r="M33" t="s">
        <v>29</v>
      </c>
      <c r="N33" s="29">
        <v>3561450</v>
      </c>
      <c r="O33" t="s">
        <v>79</v>
      </c>
      <c r="P33">
        <v>6</v>
      </c>
      <c r="Q33" t="s">
        <v>58</v>
      </c>
      <c r="R33" t="s">
        <v>61</v>
      </c>
      <c r="S33" t="s">
        <v>41</v>
      </c>
      <c r="T33" s="13">
        <v>500</v>
      </c>
      <c r="U33" t="s">
        <v>288</v>
      </c>
      <c r="V33">
        <v>1186780568</v>
      </c>
      <c r="W33" s="15" t="str">
        <f t="shared" si="0"/>
        <v>תקין</v>
      </c>
      <c r="X33" s="17"/>
    </row>
    <row r="34" spans="1:25" x14ac:dyDescent="0.3">
      <c r="A34" s="19" t="s">
        <v>289</v>
      </c>
      <c r="B34" t="s">
        <v>58</v>
      </c>
      <c r="C34" s="28">
        <v>33699794</v>
      </c>
      <c r="D34" s="14" t="str">
        <f t="array" ref="D34">IF((RIGHT(10-MOD(SUM(--MID(TEXT(C34,"000000000"),{1,3,5,7},1),--RIGHT(MID(TEXT(C34,"000000000"),{2,4,6,8},1)*2),--LEFT(TEXT((MID(TEXT(C34,"000000000"),{2,4,6,8},1)*2),"00"))),10),1))=TEXT(VALUE(RIGHT(C34,1)),"0"),"תקין","מספר זהוי שגוי")</f>
        <v>תקין</v>
      </c>
      <c r="E34" t="s">
        <v>263</v>
      </c>
      <c r="F34" t="s">
        <v>164</v>
      </c>
      <c r="G34" t="s">
        <v>17</v>
      </c>
      <c r="H34" t="s">
        <v>18</v>
      </c>
      <c r="I34" t="s">
        <v>25</v>
      </c>
      <c r="J34">
        <v>10</v>
      </c>
      <c r="K34" t="s">
        <v>60</v>
      </c>
      <c r="L34" s="12">
        <v>28329</v>
      </c>
      <c r="M34" t="s">
        <v>29</v>
      </c>
      <c r="N34" s="29">
        <v>527657842</v>
      </c>
      <c r="O34" t="s">
        <v>80</v>
      </c>
      <c r="P34">
        <v>7</v>
      </c>
      <c r="Q34" t="s">
        <v>58</v>
      </c>
      <c r="R34" t="s">
        <v>61</v>
      </c>
      <c r="S34" t="s">
        <v>41</v>
      </c>
      <c r="T34" s="13">
        <v>500</v>
      </c>
      <c r="U34" t="s">
        <v>288</v>
      </c>
      <c r="V34">
        <v>1186780576</v>
      </c>
      <c r="W34" s="15" t="str">
        <f t="shared" si="0"/>
        <v>תקין</v>
      </c>
      <c r="X34" s="17"/>
    </row>
    <row r="35" spans="1:25" x14ac:dyDescent="0.3">
      <c r="A35" s="19" t="s">
        <v>289</v>
      </c>
      <c r="B35" t="s">
        <v>58</v>
      </c>
      <c r="C35" s="28">
        <v>33841305</v>
      </c>
      <c r="D35" s="14" t="str">
        <f t="array" ref="D35">IF((RIGHT(10-MOD(SUM(--MID(TEXT(C35,"000000000"),{1,3,5,7},1),--RIGHT(MID(TEXT(C35,"000000000"),{2,4,6,8},1)*2),--LEFT(TEXT((MID(TEXT(C35,"000000000"),{2,4,6,8},1)*2),"00"))),10),1))=TEXT(VALUE(RIGHT(C35,1)),"0"),"תקין","מספר זהוי שגוי")</f>
        <v>תקין</v>
      </c>
      <c r="E35" t="s">
        <v>264</v>
      </c>
      <c r="F35" t="s">
        <v>265</v>
      </c>
      <c r="G35" t="s">
        <v>17</v>
      </c>
      <c r="H35" t="s">
        <v>18</v>
      </c>
      <c r="I35" t="s">
        <v>25</v>
      </c>
      <c r="J35">
        <v>11</v>
      </c>
      <c r="K35" t="s">
        <v>60</v>
      </c>
      <c r="L35" s="12">
        <v>28486</v>
      </c>
      <c r="M35" t="s">
        <v>29</v>
      </c>
      <c r="N35" s="29" t="s">
        <v>266</v>
      </c>
      <c r="O35" t="s">
        <v>80</v>
      </c>
      <c r="P35">
        <v>30</v>
      </c>
      <c r="Q35" t="s">
        <v>58</v>
      </c>
      <c r="R35" t="s">
        <v>61</v>
      </c>
      <c r="S35" t="s">
        <v>41</v>
      </c>
      <c r="T35" s="13">
        <v>500</v>
      </c>
      <c r="U35" t="s">
        <v>288</v>
      </c>
      <c r="V35">
        <v>1186780584</v>
      </c>
      <c r="W35" s="15" t="str">
        <f t="shared" si="0"/>
        <v>תקין</v>
      </c>
      <c r="X35" s="17"/>
    </row>
    <row r="36" spans="1:25" x14ac:dyDescent="0.3">
      <c r="A36" s="19" t="s">
        <v>289</v>
      </c>
      <c r="B36" t="s">
        <v>58</v>
      </c>
      <c r="C36" s="28">
        <v>33891243</v>
      </c>
      <c r="D36" s="14" t="str">
        <f t="array" ref="D36">IF((RIGHT(10-MOD(SUM(--MID(TEXT(C36,"000000000"),{1,3,5,7},1),--RIGHT(MID(TEXT(C36,"000000000"),{2,4,6,8},1)*2),--LEFT(TEXT((MID(TEXT(C36,"000000000"),{2,4,6,8},1)*2),"00"))),10),1))=TEXT(VALUE(RIGHT(C36,1)),"0"),"תקין","מספר זהוי שגוי")</f>
        <v>תקין</v>
      </c>
      <c r="E36" t="s">
        <v>267</v>
      </c>
      <c r="F36" t="s">
        <v>268</v>
      </c>
      <c r="G36" t="s">
        <v>17</v>
      </c>
      <c r="H36" t="s">
        <v>18</v>
      </c>
      <c r="I36" t="s">
        <v>25</v>
      </c>
      <c r="J36">
        <v>7</v>
      </c>
      <c r="K36" t="s">
        <v>60</v>
      </c>
      <c r="L36" s="12">
        <v>28174</v>
      </c>
      <c r="M36" t="s">
        <v>29</v>
      </c>
      <c r="N36" s="29" t="s">
        <v>269</v>
      </c>
      <c r="O36" t="s">
        <v>81</v>
      </c>
      <c r="P36">
        <v>17</v>
      </c>
      <c r="Q36" t="s">
        <v>58</v>
      </c>
      <c r="R36" t="s">
        <v>61</v>
      </c>
      <c r="S36" t="s">
        <v>41</v>
      </c>
      <c r="T36" s="13">
        <v>2000</v>
      </c>
      <c r="U36" t="s">
        <v>288</v>
      </c>
      <c r="V36">
        <v>1186780592</v>
      </c>
      <c r="W36" s="15" t="str">
        <f t="shared" si="0"/>
        <v>תקין</v>
      </c>
      <c r="X36" s="17">
        <v>1186779101</v>
      </c>
      <c r="Y36" s="18" t="str">
        <f>IF(LEN(X36)&gt;0,IF(LEN(X36)&lt;9,"לא תקין",IF(LEN(X36)&gt;10,"לא תקין",IF(MOD((RIGHT(X36,1)*1)+(MID(X36,LEN(X36)-1,1)*2)+(MID(X36,LEN(X36)-2,1)*3)+(MID(X36,LEN(X36)-3,1)*4)+(MID(X36,LEN(X36)-4,1)*5)+(MID(X36,LEN(X36)-5,1)*6)+(MID(X36,LEN(X36)-6,1)*7)+(MID(X36,LEN(X36)-7,1)*8)+(MID(X36,LEN(X36)-8,1)*9)+(IF(LEN(X36)=9,0,MID(X36,LEN(X36)-9,1))*10),11)=0,"תקין","לא תקין"))),"ריק")</f>
        <v>תקין</v>
      </c>
    </row>
    <row r="37" spans="1:25" x14ac:dyDescent="0.3">
      <c r="A37" s="19" t="s">
        <v>289</v>
      </c>
      <c r="B37" t="s">
        <v>58</v>
      </c>
      <c r="C37" s="28">
        <v>34385039</v>
      </c>
      <c r="D37" s="14" t="str">
        <f t="array" ref="D37">IF((RIGHT(10-MOD(SUM(--MID(TEXT(C37,"000000000"),{1,3,5,7},1),--RIGHT(MID(TEXT(C37,"000000000"),{2,4,6,8},1)*2),--LEFT(TEXT((MID(TEXT(C37,"000000000"),{2,4,6,8},1)*2),"00"))),10),1))=TEXT(VALUE(RIGHT(C37,1)),"0"),"תקין","מספר זהוי שגוי")</f>
        <v>תקין</v>
      </c>
      <c r="E37" t="s">
        <v>270</v>
      </c>
      <c r="F37" t="s">
        <v>75</v>
      </c>
      <c r="G37" t="s">
        <v>17</v>
      </c>
      <c r="H37" t="s">
        <v>18</v>
      </c>
      <c r="I37" t="s">
        <v>25</v>
      </c>
      <c r="J37">
        <v>7</v>
      </c>
      <c r="K37" t="s">
        <v>60</v>
      </c>
      <c r="L37" s="12">
        <v>28674</v>
      </c>
      <c r="M37" t="s">
        <v>29</v>
      </c>
      <c r="N37" s="29">
        <v>548444744</v>
      </c>
      <c r="O37" t="s">
        <v>139</v>
      </c>
      <c r="P37">
        <v>1</v>
      </c>
      <c r="Q37" t="s">
        <v>58</v>
      </c>
      <c r="R37" t="s">
        <v>61</v>
      </c>
      <c r="S37" t="s">
        <v>41</v>
      </c>
      <c r="T37" s="13">
        <v>500</v>
      </c>
      <c r="U37" t="s">
        <v>288</v>
      </c>
      <c r="V37">
        <v>1186781106</v>
      </c>
      <c r="W37" s="15" t="str">
        <f t="shared" si="0"/>
        <v>תקין</v>
      </c>
      <c r="X37" s="17"/>
      <c r="Y37" s="17"/>
    </row>
    <row r="38" spans="1:25" x14ac:dyDescent="0.3">
      <c r="A38" s="19" t="s">
        <v>289</v>
      </c>
      <c r="B38" t="s">
        <v>58</v>
      </c>
      <c r="C38" s="28">
        <v>34531673</v>
      </c>
      <c r="D38" s="14" t="str">
        <f t="array" ref="D38">IF((RIGHT(10-MOD(SUM(--MID(TEXT(C38,"000000000"),{1,3,5,7},1),--RIGHT(MID(TEXT(C38,"000000000"),{2,4,6,8},1)*2),--LEFT(TEXT((MID(TEXT(C38,"000000000"),{2,4,6,8},1)*2),"00"))),10),1))=TEXT(VALUE(RIGHT(C38,1)),"0"),"תקין","מספר זהוי שגוי")</f>
        <v>תקין</v>
      </c>
      <c r="E38" t="s">
        <v>271</v>
      </c>
      <c r="F38" t="s">
        <v>272</v>
      </c>
      <c r="G38" t="s">
        <v>17</v>
      </c>
      <c r="H38" t="s">
        <v>18</v>
      </c>
      <c r="I38" t="s">
        <v>25</v>
      </c>
      <c r="J38">
        <v>5</v>
      </c>
      <c r="K38" t="s">
        <v>60</v>
      </c>
      <c r="L38" s="12">
        <v>28380</v>
      </c>
      <c r="M38" t="s">
        <v>29</v>
      </c>
      <c r="N38" s="29" t="s">
        <v>273</v>
      </c>
      <c r="O38" t="s">
        <v>65</v>
      </c>
      <c r="P38">
        <v>24</v>
      </c>
      <c r="Q38" t="s">
        <v>58</v>
      </c>
      <c r="R38" t="s">
        <v>61</v>
      </c>
      <c r="S38" t="s">
        <v>41</v>
      </c>
      <c r="T38" s="13">
        <v>500</v>
      </c>
      <c r="U38" t="s">
        <v>288</v>
      </c>
      <c r="V38">
        <v>1186781114</v>
      </c>
      <c r="W38" s="15" t="str">
        <f t="shared" si="0"/>
        <v>תקין</v>
      </c>
      <c r="X38" s="17"/>
    </row>
    <row r="39" spans="1:25" x14ac:dyDescent="0.3">
      <c r="A39" s="19" t="s">
        <v>289</v>
      </c>
      <c r="B39" t="s">
        <v>58</v>
      </c>
      <c r="C39" s="28">
        <v>34913053</v>
      </c>
      <c r="D39" s="14" t="str">
        <f t="array" ref="D39">IF((RIGHT(10-MOD(SUM(--MID(TEXT(C39,"000000000"),{1,3,5,7},1),--RIGHT(MID(TEXT(C39,"000000000"),{2,4,6,8},1)*2),--LEFT(TEXT((MID(TEXT(C39,"000000000"),{2,4,6,8},1)*2),"00"))),10),1))=TEXT(VALUE(RIGHT(C39,1)),"0"),"תקין","מספר זהוי שגוי")</f>
        <v>תקין</v>
      </c>
      <c r="E39" t="s">
        <v>274</v>
      </c>
      <c r="F39" t="s">
        <v>275</v>
      </c>
      <c r="G39" t="s">
        <v>17</v>
      </c>
      <c r="H39" t="s">
        <v>18</v>
      </c>
      <c r="I39" t="s">
        <v>25</v>
      </c>
      <c r="J39">
        <v>6</v>
      </c>
      <c r="K39" t="s">
        <v>60</v>
      </c>
      <c r="L39" s="12">
        <v>28654</v>
      </c>
      <c r="M39" t="s">
        <v>29</v>
      </c>
      <c r="N39" s="29" t="s">
        <v>276</v>
      </c>
      <c r="O39" t="s">
        <v>99</v>
      </c>
      <c r="P39">
        <v>8</v>
      </c>
      <c r="Q39" t="s">
        <v>58</v>
      </c>
      <c r="R39" t="s">
        <v>62</v>
      </c>
      <c r="S39" t="s">
        <v>40</v>
      </c>
      <c r="T39" s="13">
        <v>1000</v>
      </c>
      <c r="U39" t="s">
        <v>288</v>
      </c>
      <c r="V39">
        <v>1186781122</v>
      </c>
      <c r="W39" s="15" t="str">
        <f t="shared" ref="W39:W70" si="1">IF(LEN(V39)&gt;0,IF(LEN(V39)&lt;9,"לא תקין",IF(LEN(V39)&gt;10,"לא תקין",IF(MOD((RIGHT(V39,1)*1)+(MID(V39,LEN(V39)-1,1)*2)+(MID(V39,LEN(V39)-2,1)*3)+(MID(V39,LEN(V39)-3,1)*4)+(MID(V39,LEN(V39)-4,1)*5)+(MID(V39,LEN(V39)-5,1)*6)+(MID(V39,LEN(V39)-6,1)*7)+(MID(V39,LEN(V39)-7,1)*8)+(MID(V39,LEN(V39)-8,1)*9)+(IF(LEN(V39)=9,0,MID(V39,LEN(V39)-9,1))*10),11)=0,"תקין","לא תקין"))),"ריק")</f>
        <v>תקין</v>
      </c>
      <c r="X39" s="17"/>
    </row>
    <row r="40" spans="1:25" x14ac:dyDescent="0.3">
      <c r="A40" s="19" t="s">
        <v>289</v>
      </c>
      <c r="B40" t="s">
        <v>58</v>
      </c>
      <c r="C40" s="28">
        <v>35745025</v>
      </c>
      <c r="D40" s="14" t="str">
        <f t="array" ref="D40">IF((RIGHT(10-MOD(SUM(--MID(TEXT(C40,"000000000"),{1,3,5,7},1),--RIGHT(MID(TEXT(C40,"000000000"),{2,4,6,8},1)*2),--LEFT(TEXT((MID(TEXT(C40,"000000000"),{2,4,6,8},1)*2),"00"))),10),1))=TEXT(VALUE(RIGHT(C40,1)),"0"),"תקין","מספר זהוי שגוי")</f>
        <v>תקין</v>
      </c>
      <c r="E40" t="s">
        <v>277</v>
      </c>
      <c r="F40" t="s">
        <v>278</v>
      </c>
      <c r="G40" t="s">
        <v>17</v>
      </c>
      <c r="H40" t="s">
        <v>18</v>
      </c>
      <c r="I40" t="s">
        <v>27</v>
      </c>
      <c r="J40">
        <v>7</v>
      </c>
      <c r="K40" t="s">
        <v>60</v>
      </c>
      <c r="L40" s="12">
        <v>28649</v>
      </c>
      <c r="M40" t="s">
        <v>29</v>
      </c>
      <c r="N40" s="29">
        <v>500000000</v>
      </c>
      <c r="O40" t="s">
        <v>279</v>
      </c>
      <c r="P40">
        <v>3</v>
      </c>
      <c r="Q40" t="s">
        <v>58</v>
      </c>
      <c r="R40" t="s">
        <v>61</v>
      </c>
      <c r="S40" t="s">
        <v>41</v>
      </c>
      <c r="T40" s="13">
        <v>700</v>
      </c>
      <c r="U40" t="s">
        <v>288</v>
      </c>
      <c r="V40">
        <v>1186780681</v>
      </c>
      <c r="W40" s="15" t="str">
        <f t="shared" si="1"/>
        <v>תקין</v>
      </c>
      <c r="X40" s="17"/>
    </row>
    <row r="41" spans="1:25" x14ac:dyDescent="0.3">
      <c r="A41" s="19" t="s">
        <v>289</v>
      </c>
      <c r="B41" t="s">
        <v>58</v>
      </c>
      <c r="C41" s="28">
        <v>37211604</v>
      </c>
      <c r="D41" s="14" t="str">
        <f t="array" ref="D41">IF((RIGHT(10-MOD(SUM(--MID(TEXT(C41,"000000000"),{1,3,5,7},1),--RIGHT(MID(TEXT(C41,"000000000"),{2,4,6,8},1)*2),--LEFT(TEXT((MID(TEXT(C41,"000000000"),{2,4,6,8},1)*2),"00"))),10),1))=TEXT(VALUE(RIGHT(C41,1)),"0"),"תקין","מספר זהוי שגוי")</f>
        <v>תקין</v>
      </c>
      <c r="E41" t="s">
        <v>280</v>
      </c>
      <c r="F41" t="s">
        <v>281</v>
      </c>
      <c r="G41" t="s">
        <v>16</v>
      </c>
      <c r="H41" t="s">
        <v>18</v>
      </c>
      <c r="I41" t="s">
        <v>25</v>
      </c>
      <c r="J41">
        <v>3</v>
      </c>
      <c r="K41" t="s">
        <v>60</v>
      </c>
      <c r="L41" s="12">
        <v>29104</v>
      </c>
      <c r="M41" t="s">
        <v>29</v>
      </c>
      <c r="N41" s="29">
        <v>500000000</v>
      </c>
      <c r="O41" t="s">
        <v>91</v>
      </c>
      <c r="P41">
        <v>1</v>
      </c>
      <c r="Q41" t="s">
        <v>58</v>
      </c>
      <c r="R41" t="s">
        <v>61</v>
      </c>
      <c r="S41" t="s">
        <v>41</v>
      </c>
      <c r="T41" s="13">
        <v>500</v>
      </c>
      <c r="U41" t="s">
        <v>288</v>
      </c>
      <c r="V41">
        <v>1186780703</v>
      </c>
      <c r="W41" s="15" t="str">
        <f t="shared" si="1"/>
        <v>תקין</v>
      </c>
      <c r="X41" s="17"/>
    </row>
    <row r="42" spans="1:25" x14ac:dyDescent="0.3">
      <c r="A42" s="19" t="s">
        <v>289</v>
      </c>
      <c r="B42" t="s">
        <v>58</v>
      </c>
      <c r="C42" s="28">
        <v>38341897</v>
      </c>
      <c r="D42" s="14" t="str">
        <f t="array" ref="D42">IF((RIGHT(10-MOD(SUM(--MID(TEXT(C42,"000000000"),{1,3,5,7},1),--RIGHT(MID(TEXT(C42,"000000000"),{2,4,6,8},1)*2),--LEFT(TEXT((MID(TEXT(C42,"000000000"),{2,4,6,8},1)*2),"00"))),10),1))=TEXT(VALUE(RIGHT(C42,1)),"0"),"תקין","מספר זהוי שגוי")</f>
        <v>תקין</v>
      </c>
      <c r="E42" t="s">
        <v>282</v>
      </c>
      <c r="F42" t="s">
        <v>283</v>
      </c>
      <c r="G42" t="s">
        <v>17</v>
      </c>
      <c r="H42" t="s">
        <v>18</v>
      </c>
      <c r="I42" t="s">
        <v>25</v>
      </c>
      <c r="J42">
        <v>8</v>
      </c>
      <c r="K42" t="s">
        <v>60</v>
      </c>
      <c r="L42" s="12">
        <v>27841</v>
      </c>
      <c r="M42" t="s">
        <v>29</v>
      </c>
      <c r="N42" s="29">
        <v>527638616</v>
      </c>
      <c r="O42" t="s">
        <v>284</v>
      </c>
      <c r="P42">
        <v>50</v>
      </c>
      <c r="Q42" t="s">
        <v>58</v>
      </c>
      <c r="R42" t="s">
        <v>61</v>
      </c>
      <c r="S42" t="s">
        <v>41</v>
      </c>
      <c r="T42" s="13">
        <v>1000</v>
      </c>
      <c r="U42" t="s">
        <v>288</v>
      </c>
      <c r="V42">
        <v>1186780711</v>
      </c>
      <c r="W42" s="15" t="str">
        <f t="shared" si="1"/>
        <v>תקין</v>
      </c>
      <c r="X42" s="17"/>
    </row>
    <row r="43" spans="1:25" x14ac:dyDescent="0.3">
      <c r="A43" s="19" t="s">
        <v>289</v>
      </c>
      <c r="B43" t="s">
        <v>58</v>
      </c>
      <c r="C43" s="28">
        <v>39569637</v>
      </c>
      <c r="D43" s="14" t="str">
        <f t="array" ref="D43">IF((RIGHT(10-MOD(SUM(--MID(TEXT(C43,"000000000"),{1,3,5,7},1),--RIGHT(MID(TEXT(C43,"000000000"),{2,4,6,8},1)*2),--LEFT(TEXT((MID(TEXT(C43,"000000000"),{2,4,6,8},1)*2),"00"))),10),1))=TEXT(VALUE(RIGHT(C43,1)),"0"),"תקין","מספר זהוי שגוי")</f>
        <v>תקין</v>
      </c>
      <c r="E43" t="s">
        <v>285</v>
      </c>
      <c r="F43" t="s">
        <v>286</v>
      </c>
      <c r="G43" t="s">
        <v>17</v>
      </c>
      <c r="H43" t="s">
        <v>18</v>
      </c>
      <c r="I43" t="s">
        <v>25</v>
      </c>
      <c r="J43">
        <v>5</v>
      </c>
      <c r="K43" t="s">
        <v>60</v>
      </c>
      <c r="L43" s="12">
        <v>30857</v>
      </c>
      <c r="M43" t="s">
        <v>29</v>
      </c>
      <c r="N43" s="29" t="s">
        <v>287</v>
      </c>
      <c r="O43" t="s">
        <v>79</v>
      </c>
      <c r="P43">
        <v>14</v>
      </c>
      <c r="Q43" t="s">
        <v>58</v>
      </c>
      <c r="R43" t="s">
        <v>61</v>
      </c>
      <c r="S43" t="s">
        <v>41</v>
      </c>
      <c r="T43" s="13">
        <v>500</v>
      </c>
      <c r="U43" t="s">
        <v>288</v>
      </c>
      <c r="V43">
        <v>1186780738</v>
      </c>
      <c r="W43" s="15" t="str">
        <f t="shared" si="1"/>
        <v>תקין</v>
      </c>
      <c r="X43" s="17"/>
    </row>
    <row r="44" spans="1:25" x14ac:dyDescent="0.3">
      <c r="A44" s="19" t="s">
        <v>289</v>
      </c>
      <c r="B44" t="s">
        <v>58</v>
      </c>
      <c r="C44" s="28">
        <v>40036394</v>
      </c>
      <c r="D44" s="14" t="str">
        <f t="array" ref="D44">IF((RIGHT(10-MOD(SUM(--MID(TEXT(C44,"000000000"),{1,3,5,7},1),--RIGHT(MID(TEXT(C44,"000000000"),{2,4,6,8},1)*2),--LEFT(TEXT((MID(TEXT(C44,"000000000"),{2,4,6,8},1)*2),"00"))),10),1))=TEXT(VALUE(RIGHT(C44,1)),"0"),"תקין","מספר זהוי שגוי")</f>
        <v>תקין</v>
      </c>
      <c r="E44" t="s">
        <v>85</v>
      </c>
      <c r="F44" t="s">
        <v>86</v>
      </c>
      <c r="G44" t="s">
        <v>17</v>
      </c>
      <c r="H44" t="s">
        <v>18</v>
      </c>
      <c r="I44" t="s">
        <v>25</v>
      </c>
      <c r="J44">
        <v>9</v>
      </c>
      <c r="K44" t="s">
        <v>60</v>
      </c>
      <c r="L44" s="12">
        <v>29642</v>
      </c>
      <c r="M44" t="s">
        <v>29</v>
      </c>
      <c r="N44" s="29" t="s">
        <v>87</v>
      </c>
      <c r="O44" t="s">
        <v>69</v>
      </c>
      <c r="P44">
        <v>4</v>
      </c>
      <c r="Q44" t="s">
        <v>58</v>
      </c>
      <c r="R44" t="s">
        <v>61</v>
      </c>
      <c r="S44" t="s">
        <v>41</v>
      </c>
      <c r="T44" s="13">
        <v>1000</v>
      </c>
      <c r="U44" t="s">
        <v>288</v>
      </c>
      <c r="V44">
        <v>1186780746</v>
      </c>
      <c r="W44" s="15" t="str">
        <f t="shared" si="1"/>
        <v>תקין</v>
      </c>
      <c r="X44" s="17"/>
    </row>
    <row r="45" spans="1:25" x14ac:dyDescent="0.3">
      <c r="A45" s="19" t="s">
        <v>289</v>
      </c>
      <c r="B45" t="s">
        <v>58</v>
      </c>
      <c r="C45" s="28">
        <v>43114438</v>
      </c>
      <c r="D45" s="14" t="str">
        <f t="array" ref="D45">IF((RIGHT(10-MOD(SUM(--MID(TEXT(C45,"000000000"),{1,3,5,7},1),--RIGHT(MID(TEXT(C45,"000000000"),{2,4,6,8},1)*2),--LEFT(TEXT((MID(TEXT(C45,"000000000"),{2,4,6,8},1)*2),"00"))),10),1))=TEXT(VALUE(RIGHT(C45,1)),"0"),"תקין","מספר זהוי שגוי")</f>
        <v>תקין</v>
      </c>
      <c r="E45" t="s">
        <v>88</v>
      </c>
      <c r="F45" t="s">
        <v>89</v>
      </c>
      <c r="G45" t="s">
        <v>17</v>
      </c>
      <c r="H45" t="s">
        <v>18</v>
      </c>
      <c r="I45" t="s">
        <v>25</v>
      </c>
      <c r="J45">
        <v>11</v>
      </c>
      <c r="K45" t="s">
        <v>60</v>
      </c>
      <c r="L45" s="12">
        <v>29691</v>
      </c>
      <c r="M45" t="s">
        <v>29</v>
      </c>
      <c r="N45" s="29" t="s">
        <v>90</v>
      </c>
      <c r="O45" t="s">
        <v>91</v>
      </c>
      <c r="P45">
        <v>56</v>
      </c>
      <c r="Q45" t="s">
        <v>58</v>
      </c>
      <c r="R45" t="s">
        <v>61</v>
      </c>
      <c r="S45" t="s">
        <v>41</v>
      </c>
      <c r="T45" s="13">
        <v>500</v>
      </c>
      <c r="U45" t="s">
        <v>288</v>
      </c>
      <c r="V45">
        <v>1186780797</v>
      </c>
      <c r="W45" s="15" t="str">
        <f t="shared" si="1"/>
        <v>תקין</v>
      </c>
      <c r="X45" s="17"/>
    </row>
    <row r="46" spans="1:25" x14ac:dyDescent="0.3">
      <c r="A46" s="19" t="s">
        <v>289</v>
      </c>
      <c r="B46" t="s">
        <v>58</v>
      </c>
      <c r="C46" s="28">
        <v>45147436</v>
      </c>
      <c r="D46" s="14" t="str">
        <f t="array" ref="D46">IF((RIGHT(10-MOD(SUM(--MID(TEXT(C46,"000000000"),{1,3,5,7},1),--RIGHT(MID(TEXT(C46,"000000000"),{2,4,6,8},1)*2),--LEFT(TEXT((MID(TEXT(C46,"000000000"),{2,4,6,8},1)*2),"00"))),10),1))=TEXT(VALUE(RIGHT(C46,1)),"0"),"תקין","מספר זהוי שגוי")</f>
        <v>תקין</v>
      </c>
      <c r="E46" t="s">
        <v>84</v>
      </c>
      <c r="F46" t="s">
        <v>92</v>
      </c>
      <c r="G46" t="s">
        <v>17</v>
      </c>
      <c r="H46" t="s">
        <v>18</v>
      </c>
      <c r="I46" t="s">
        <v>25</v>
      </c>
      <c r="J46">
        <v>6</v>
      </c>
      <c r="K46" t="s">
        <v>93</v>
      </c>
      <c r="L46" s="12">
        <v>17624</v>
      </c>
      <c r="M46" t="s">
        <v>29</v>
      </c>
      <c r="N46" s="29" t="s">
        <v>94</v>
      </c>
      <c r="O46" t="s">
        <v>81</v>
      </c>
      <c r="P46">
        <v>19</v>
      </c>
      <c r="Q46" t="s">
        <v>58</v>
      </c>
      <c r="R46" t="s">
        <v>61</v>
      </c>
      <c r="S46" t="s">
        <v>41</v>
      </c>
      <c r="T46" s="13">
        <v>500</v>
      </c>
      <c r="U46" t="s">
        <v>288</v>
      </c>
      <c r="V46">
        <v>1186780754</v>
      </c>
      <c r="W46" s="15" t="str">
        <f t="shared" si="1"/>
        <v>תקין</v>
      </c>
      <c r="X46" s="17"/>
    </row>
    <row r="47" spans="1:25" x14ac:dyDescent="0.3">
      <c r="A47" s="19" t="s">
        <v>289</v>
      </c>
      <c r="B47" t="s">
        <v>58</v>
      </c>
      <c r="C47" s="28">
        <v>56069909</v>
      </c>
      <c r="D47" s="14" t="str">
        <f t="array" ref="D47">IF((RIGHT(10-MOD(SUM(--MID(TEXT(C47,"000000000"),{1,3,5,7},1),--RIGHT(MID(TEXT(C47,"000000000"),{2,4,6,8},1)*2),--LEFT(TEXT((MID(TEXT(C47,"000000000"),{2,4,6,8},1)*2),"00"))),10),1))=TEXT(VALUE(RIGHT(C47,1)),"0"),"תקין","מספר זהוי שגוי")</f>
        <v>תקין</v>
      </c>
      <c r="E47" t="s">
        <v>95</v>
      </c>
      <c r="F47" t="s">
        <v>96</v>
      </c>
      <c r="G47" t="s">
        <v>16</v>
      </c>
      <c r="H47" t="s">
        <v>18</v>
      </c>
      <c r="I47" t="s">
        <v>97</v>
      </c>
      <c r="J47">
        <v>1</v>
      </c>
      <c r="K47" t="s">
        <v>60</v>
      </c>
      <c r="L47" s="12">
        <v>22547</v>
      </c>
      <c r="M47" t="s">
        <v>29</v>
      </c>
      <c r="N47" s="29" t="s">
        <v>98</v>
      </c>
      <c r="O47" t="s">
        <v>99</v>
      </c>
      <c r="P47">
        <v>6</v>
      </c>
      <c r="Q47" t="s">
        <v>58</v>
      </c>
      <c r="R47" t="s">
        <v>61</v>
      </c>
      <c r="S47" t="s">
        <v>41</v>
      </c>
      <c r="T47" s="13">
        <v>1000</v>
      </c>
      <c r="U47" t="s">
        <v>288</v>
      </c>
      <c r="V47">
        <v>1186780762</v>
      </c>
      <c r="W47" s="15" t="str">
        <f t="shared" si="1"/>
        <v>תקין</v>
      </c>
      <c r="X47" s="17"/>
    </row>
    <row r="48" spans="1:25" x14ac:dyDescent="0.3">
      <c r="A48" s="19" t="s">
        <v>289</v>
      </c>
      <c r="B48" t="s">
        <v>58</v>
      </c>
      <c r="C48" s="28">
        <v>56610140</v>
      </c>
      <c r="D48" s="14" t="str">
        <f t="array" ref="D48">IF((RIGHT(10-MOD(SUM(--MID(TEXT(C48,"000000000"),{1,3,5,7},1),--RIGHT(MID(TEXT(C48,"000000000"),{2,4,6,8},1)*2),--LEFT(TEXT((MID(TEXT(C48,"000000000"),{2,4,6,8},1)*2),"00"))),10),1))=TEXT(VALUE(RIGHT(C48,1)),"0"),"תקין","מספר זהוי שגוי")</f>
        <v>תקין</v>
      </c>
      <c r="E48" t="s">
        <v>100</v>
      </c>
      <c r="F48" t="s">
        <v>101</v>
      </c>
      <c r="G48" t="s">
        <v>17</v>
      </c>
      <c r="H48" t="s">
        <v>18</v>
      </c>
      <c r="I48" t="s">
        <v>25</v>
      </c>
      <c r="J48">
        <v>10</v>
      </c>
      <c r="K48" t="s">
        <v>60</v>
      </c>
      <c r="L48" s="12">
        <v>22148</v>
      </c>
      <c r="M48" t="s">
        <v>29</v>
      </c>
      <c r="N48" s="29">
        <v>504158721</v>
      </c>
      <c r="O48" t="s">
        <v>68</v>
      </c>
      <c r="P48">
        <v>18</v>
      </c>
      <c r="Q48" t="s">
        <v>58</v>
      </c>
      <c r="R48" t="s">
        <v>61</v>
      </c>
      <c r="S48" t="s">
        <v>41</v>
      </c>
      <c r="T48" s="13">
        <v>1000</v>
      </c>
      <c r="U48" t="s">
        <v>288</v>
      </c>
      <c r="V48">
        <v>1186780770</v>
      </c>
      <c r="W48" s="15" t="str">
        <f t="shared" si="1"/>
        <v>תקין</v>
      </c>
      <c r="X48" s="17"/>
    </row>
    <row r="49" spans="1:24" x14ac:dyDescent="0.3">
      <c r="A49" s="19" t="s">
        <v>289</v>
      </c>
      <c r="B49" t="s">
        <v>58</v>
      </c>
      <c r="C49" s="28">
        <v>58480674</v>
      </c>
      <c r="D49" s="14" t="str">
        <f t="array" ref="D49">IF((RIGHT(10-MOD(SUM(--MID(TEXT(C49,"000000000"),{1,3,5,7},1),--RIGHT(MID(TEXT(C49,"000000000"),{2,4,6,8},1)*2),--LEFT(TEXT((MID(TEXT(C49,"000000000"),{2,4,6,8},1)*2),"00"))),10),1))=TEXT(VALUE(RIGHT(C49,1)),"0"),"תקין","מספר זהוי שגוי")</f>
        <v>תקין</v>
      </c>
      <c r="E49" t="s">
        <v>102</v>
      </c>
      <c r="F49" t="s">
        <v>103</v>
      </c>
      <c r="G49" t="s">
        <v>17</v>
      </c>
      <c r="H49" t="s">
        <v>18</v>
      </c>
      <c r="I49" t="s">
        <v>25</v>
      </c>
      <c r="J49">
        <v>7</v>
      </c>
      <c r="K49" t="s">
        <v>60</v>
      </c>
      <c r="L49" s="12">
        <v>23367</v>
      </c>
      <c r="M49" t="s">
        <v>29</v>
      </c>
      <c r="N49" s="29" t="s">
        <v>104</v>
      </c>
      <c r="O49" t="s">
        <v>105</v>
      </c>
      <c r="P49">
        <v>23</v>
      </c>
      <c r="Q49" t="s">
        <v>58</v>
      </c>
      <c r="R49" t="s">
        <v>106</v>
      </c>
      <c r="S49" t="s">
        <v>39</v>
      </c>
      <c r="T49" s="13">
        <v>1000</v>
      </c>
      <c r="U49" t="s">
        <v>288</v>
      </c>
      <c r="V49">
        <v>1186780789</v>
      </c>
      <c r="W49" s="15" t="str">
        <f t="shared" si="1"/>
        <v>תקין</v>
      </c>
      <c r="X49" s="17"/>
    </row>
    <row r="50" spans="1:24" x14ac:dyDescent="0.3">
      <c r="A50" s="19" t="s">
        <v>289</v>
      </c>
      <c r="B50" t="s">
        <v>58</v>
      </c>
      <c r="C50" s="28">
        <v>61256434</v>
      </c>
      <c r="D50" s="14" t="str">
        <f t="array" ref="D50">IF((RIGHT(10-MOD(SUM(--MID(TEXT(C50,"000000000"),{1,3,5,7},1),--RIGHT(MID(TEXT(C50,"000000000"),{2,4,6,8},1)*2),--LEFT(TEXT((MID(TEXT(C50,"000000000"),{2,4,6,8},1)*2),"00"))),10),1))=TEXT(VALUE(RIGHT(C50,1)),"0"),"תקין","מספר זהוי שגוי")</f>
        <v>תקין</v>
      </c>
      <c r="E50" t="s">
        <v>107</v>
      </c>
      <c r="F50" t="s">
        <v>108</v>
      </c>
      <c r="G50" t="s">
        <v>16</v>
      </c>
      <c r="H50" t="s">
        <v>18</v>
      </c>
      <c r="I50" t="s">
        <v>27</v>
      </c>
      <c r="J50">
        <v>4</v>
      </c>
      <c r="K50" t="s">
        <v>60</v>
      </c>
      <c r="L50" s="12">
        <v>30159</v>
      </c>
      <c r="M50" t="s">
        <v>29</v>
      </c>
      <c r="N50" s="29" t="s">
        <v>109</v>
      </c>
      <c r="O50" t="s">
        <v>110</v>
      </c>
      <c r="P50">
        <v>50</v>
      </c>
      <c r="Q50" t="s">
        <v>58</v>
      </c>
      <c r="R50" t="s">
        <v>61</v>
      </c>
      <c r="S50" t="s">
        <v>41</v>
      </c>
      <c r="T50" s="13">
        <v>700</v>
      </c>
      <c r="U50" t="s">
        <v>288</v>
      </c>
      <c r="V50">
        <v>1186780800</v>
      </c>
      <c r="W50" s="15" t="str">
        <f t="shared" si="1"/>
        <v>תקין</v>
      </c>
      <c r="X50" s="17"/>
    </row>
    <row r="51" spans="1:24" x14ac:dyDescent="0.3">
      <c r="A51" s="19" t="s">
        <v>289</v>
      </c>
      <c r="B51" t="s">
        <v>58</v>
      </c>
      <c r="C51" s="28">
        <v>64876857</v>
      </c>
      <c r="D51" s="14" t="str">
        <f t="array" ref="D51">IF((RIGHT(10-MOD(SUM(--MID(TEXT(C51,"000000000"),{1,3,5,7},1),--RIGHT(MID(TEXT(C51,"000000000"),{2,4,6,8},1)*2),--LEFT(TEXT((MID(TEXT(C51,"000000000"),{2,4,6,8},1)*2),"00"))),10),1))=TEXT(VALUE(RIGHT(C51,1)),"0"),"תקין","מספר זהוי שגוי")</f>
        <v>תקין</v>
      </c>
      <c r="E51" t="s">
        <v>77</v>
      </c>
      <c r="F51" t="s">
        <v>78</v>
      </c>
      <c r="G51" t="s">
        <v>16</v>
      </c>
      <c r="H51" t="s">
        <v>18</v>
      </c>
      <c r="I51" t="s">
        <v>27</v>
      </c>
      <c r="J51">
        <v>2</v>
      </c>
      <c r="K51" t="s">
        <v>60</v>
      </c>
      <c r="L51" s="12">
        <v>20172</v>
      </c>
      <c r="M51" t="s">
        <v>29</v>
      </c>
      <c r="N51" s="29">
        <v>500000000</v>
      </c>
      <c r="O51" t="s">
        <v>79</v>
      </c>
      <c r="P51">
        <v>4</v>
      </c>
      <c r="Q51" t="s">
        <v>58</v>
      </c>
      <c r="R51" t="s">
        <v>61</v>
      </c>
      <c r="S51" t="s">
        <v>41</v>
      </c>
      <c r="T51" s="13">
        <v>500</v>
      </c>
      <c r="U51" t="s">
        <v>288</v>
      </c>
      <c r="V51">
        <v>1186780819</v>
      </c>
      <c r="W51" s="15" t="str">
        <f t="shared" si="1"/>
        <v>תקין</v>
      </c>
      <c r="X51" s="17"/>
    </row>
    <row r="52" spans="1:24" x14ac:dyDescent="0.3">
      <c r="A52" s="19" t="s">
        <v>289</v>
      </c>
      <c r="B52" t="s">
        <v>58</v>
      </c>
      <c r="C52" s="28">
        <v>204515266</v>
      </c>
      <c r="D52" s="14" t="str">
        <f t="array" ref="D52">IF((RIGHT(10-MOD(SUM(--MID(TEXT(C52,"000000000"),{1,3,5,7},1),--RIGHT(MID(TEXT(C52,"000000000"),{2,4,6,8},1)*2),--LEFT(TEXT((MID(TEXT(C52,"000000000"),{2,4,6,8},1)*2),"00"))),10),1))=TEXT(VALUE(RIGHT(C52,1)),"0"),"תקין","מספר זהוי שגוי")</f>
        <v>תקין</v>
      </c>
      <c r="E52" t="s">
        <v>82</v>
      </c>
      <c r="F52" t="s">
        <v>111</v>
      </c>
      <c r="G52" t="s">
        <v>16</v>
      </c>
      <c r="H52" t="s">
        <v>18</v>
      </c>
      <c r="I52" t="s">
        <v>26</v>
      </c>
      <c r="J52">
        <v>4</v>
      </c>
      <c r="K52" t="s">
        <v>60</v>
      </c>
      <c r="L52" s="12">
        <v>33899</v>
      </c>
      <c r="M52" t="s">
        <v>29</v>
      </c>
      <c r="N52" s="29">
        <v>500000000</v>
      </c>
      <c r="O52" t="s">
        <v>112</v>
      </c>
      <c r="P52">
        <v>10</v>
      </c>
      <c r="Q52" t="s">
        <v>58</v>
      </c>
      <c r="R52" t="s">
        <v>61</v>
      </c>
      <c r="S52" t="s">
        <v>41</v>
      </c>
      <c r="T52" s="13">
        <v>700</v>
      </c>
      <c r="U52" t="s">
        <v>288</v>
      </c>
      <c r="V52">
        <v>1186780827</v>
      </c>
      <c r="W52" s="15" t="str">
        <f t="shared" si="1"/>
        <v>תקין</v>
      </c>
      <c r="X52" s="17"/>
    </row>
    <row r="53" spans="1:24" x14ac:dyDescent="0.3">
      <c r="A53" s="19" t="s">
        <v>289</v>
      </c>
      <c r="B53" t="s">
        <v>58</v>
      </c>
      <c r="C53" s="28">
        <v>206304610</v>
      </c>
      <c r="D53" s="14" t="str">
        <f t="array" ref="D53">IF((RIGHT(10-MOD(SUM(--MID(TEXT(C53,"000000000"),{1,3,5,7},1),--RIGHT(MID(TEXT(C53,"000000000"),{2,4,6,8},1)*2),--LEFT(TEXT((MID(TEXT(C53,"000000000"),{2,4,6,8},1)*2),"00"))),10),1))=TEXT(VALUE(RIGHT(C53,1)),"0"),"תקין","מספר זהוי שגוי")</f>
        <v>תקין</v>
      </c>
      <c r="E53" t="s">
        <v>113</v>
      </c>
      <c r="F53" t="s">
        <v>114</v>
      </c>
      <c r="G53" t="s">
        <v>16</v>
      </c>
      <c r="H53" t="s">
        <v>18</v>
      </c>
      <c r="I53" t="s">
        <v>27</v>
      </c>
      <c r="J53">
        <v>2</v>
      </c>
      <c r="K53" t="s">
        <v>60</v>
      </c>
      <c r="L53" s="12">
        <v>34654</v>
      </c>
      <c r="M53" t="s">
        <v>29</v>
      </c>
      <c r="N53" s="29" t="s">
        <v>115</v>
      </c>
      <c r="O53" t="s">
        <v>116</v>
      </c>
      <c r="P53">
        <v>7</v>
      </c>
      <c r="Q53" t="s">
        <v>58</v>
      </c>
      <c r="R53" t="s">
        <v>61</v>
      </c>
      <c r="S53" t="s">
        <v>41</v>
      </c>
      <c r="T53" s="13">
        <v>1000</v>
      </c>
      <c r="U53" t="s">
        <v>288</v>
      </c>
      <c r="V53">
        <v>1186780835</v>
      </c>
      <c r="W53" s="15" t="str">
        <f t="shared" si="1"/>
        <v>תקין</v>
      </c>
      <c r="X53" s="17"/>
    </row>
    <row r="54" spans="1:24" x14ac:dyDescent="0.3">
      <c r="A54" s="19" t="s">
        <v>289</v>
      </c>
      <c r="B54" t="s">
        <v>58</v>
      </c>
      <c r="C54" s="28">
        <v>212561484</v>
      </c>
      <c r="D54" s="14" t="str">
        <f t="array" ref="D54">IF((RIGHT(10-MOD(SUM(--MID(TEXT(C54,"000000000"),{1,3,5,7},1),--RIGHT(MID(TEXT(C54,"000000000"),{2,4,6,8},1)*2),--LEFT(TEXT((MID(TEXT(C54,"000000000"),{2,4,6,8},1)*2),"00"))),10),1))=TEXT(VALUE(RIGHT(C54,1)),"0"),"תקין","מספר זהוי שגוי")</f>
        <v>תקין</v>
      </c>
      <c r="E54" t="s">
        <v>117</v>
      </c>
      <c r="F54" t="s">
        <v>118</v>
      </c>
      <c r="G54" t="s">
        <v>17</v>
      </c>
      <c r="H54" t="s">
        <v>18</v>
      </c>
      <c r="I54" t="s">
        <v>25</v>
      </c>
      <c r="J54">
        <v>4</v>
      </c>
      <c r="K54" t="s">
        <v>60</v>
      </c>
      <c r="L54" s="12">
        <v>37203</v>
      </c>
      <c r="M54" t="s">
        <v>29</v>
      </c>
      <c r="N54" s="29">
        <v>500000000</v>
      </c>
      <c r="O54" t="s">
        <v>80</v>
      </c>
      <c r="P54">
        <v>18</v>
      </c>
      <c r="Q54" t="s">
        <v>58</v>
      </c>
      <c r="R54" t="s">
        <v>61</v>
      </c>
      <c r="S54" t="s">
        <v>41</v>
      </c>
      <c r="T54" s="13">
        <v>500</v>
      </c>
      <c r="U54" t="s">
        <v>288</v>
      </c>
      <c r="V54">
        <v>1186780843</v>
      </c>
      <c r="W54" s="15" t="str">
        <f t="shared" si="1"/>
        <v>תקין</v>
      </c>
      <c r="X54" s="17"/>
    </row>
    <row r="55" spans="1:24" x14ac:dyDescent="0.3">
      <c r="A55" s="19" t="s">
        <v>289</v>
      </c>
      <c r="B55" t="s">
        <v>58</v>
      </c>
      <c r="C55" s="28">
        <v>304274053</v>
      </c>
      <c r="D55" s="14" t="str">
        <f t="array" ref="D55">IF((RIGHT(10-MOD(SUM(--MID(TEXT(C55,"000000000"),{1,3,5,7},1),--RIGHT(MID(TEXT(C55,"000000000"),{2,4,6,8},1)*2),--LEFT(TEXT((MID(TEXT(C55,"000000000"),{2,4,6,8},1)*2),"00"))),10),1))=TEXT(VALUE(RIGHT(C55,1)),"0"),"תקין","מספר זהוי שגוי")</f>
        <v>תקין</v>
      </c>
      <c r="E55" t="s">
        <v>119</v>
      </c>
      <c r="F55" t="s">
        <v>120</v>
      </c>
      <c r="G55" t="s">
        <v>17</v>
      </c>
      <c r="H55" t="s">
        <v>18</v>
      </c>
      <c r="I55" t="s">
        <v>25</v>
      </c>
      <c r="J55">
        <v>9</v>
      </c>
      <c r="K55" t="s">
        <v>121</v>
      </c>
      <c r="L55" s="12">
        <v>31066</v>
      </c>
      <c r="M55" t="s">
        <v>29</v>
      </c>
      <c r="N55" s="29" t="s">
        <v>122</v>
      </c>
      <c r="O55" t="s">
        <v>65</v>
      </c>
      <c r="P55">
        <v>16</v>
      </c>
      <c r="Q55" t="s">
        <v>58</v>
      </c>
      <c r="R55" t="s">
        <v>61</v>
      </c>
      <c r="S55" t="s">
        <v>41</v>
      </c>
      <c r="T55" s="13">
        <v>500</v>
      </c>
      <c r="U55" t="s">
        <v>288</v>
      </c>
      <c r="V55">
        <v>1186780851</v>
      </c>
      <c r="W55" s="15" t="str">
        <f t="shared" si="1"/>
        <v>תקין</v>
      </c>
      <c r="X55" s="17"/>
    </row>
    <row r="56" spans="1:24" x14ac:dyDescent="0.3">
      <c r="A56" s="19" t="s">
        <v>289</v>
      </c>
      <c r="B56" t="s">
        <v>58</v>
      </c>
      <c r="C56" s="28">
        <v>307409474</v>
      </c>
      <c r="D56" s="14" t="str">
        <f t="array" ref="D56">IF((RIGHT(10-MOD(SUM(--MID(TEXT(C56,"000000000"),{1,3,5,7},1),--RIGHT(MID(TEXT(C56,"000000000"),{2,4,6,8},1)*2),--LEFT(TEXT((MID(TEXT(C56,"000000000"),{2,4,6,8},1)*2),"00"))),10),1))=TEXT(VALUE(RIGHT(C56,1)),"0"),"תקין","מספר זהוי שגוי")</f>
        <v>תקין</v>
      </c>
      <c r="E56" t="s">
        <v>123</v>
      </c>
      <c r="F56" t="s">
        <v>124</v>
      </c>
      <c r="G56" t="s">
        <v>17</v>
      </c>
      <c r="H56" t="s">
        <v>18</v>
      </c>
      <c r="I56" t="s">
        <v>26</v>
      </c>
      <c r="J56">
        <v>3</v>
      </c>
      <c r="K56" t="s">
        <v>125</v>
      </c>
      <c r="L56" s="12">
        <v>32054</v>
      </c>
      <c r="M56" t="s">
        <v>29</v>
      </c>
      <c r="N56" s="29">
        <v>500000000</v>
      </c>
      <c r="O56" t="s">
        <v>76</v>
      </c>
      <c r="P56">
        <v>32</v>
      </c>
      <c r="Q56" t="s">
        <v>58</v>
      </c>
      <c r="R56" t="s">
        <v>61</v>
      </c>
      <c r="S56" t="s">
        <v>41</v>
      </c>
      <c r="T56" s="13">
        <v>500</v>
      </c>
      <c r="U56" t="s">
        <v>288</v>
      </c>
      <c r="V56">
        <v>1186780878</v>
      </c>
      <c r="W56" s="15" t="str">
        <f t="shared" si="1"/>
        <v>תקין</v>
      </c>
      <c r="X56" s="17"/>
    </row>
    <row r="57" spans="1:24" x14ac:dyDescent="0.3">
      <c r="A57" s="19" t="s">
        <v>289</v>
      </c>
      <c r="B57" t="s">
        <v>58</v>
      </c>
      <c r="C57" s="28">
        <v>309255388</v>
      </c>
      <c r="D57" s="14" t="str">
        <f t="array" ref="D57">IF((RIGHT(10-MOD(SUM(--MID(TEXT(C57,"000000000"),{1,3,5,7},1),--RIGHT(MID(TEXT(C57,"000000000"),{2,4,6,8},1)*2),--LEFT(TEXT((MID(TEXT(C57,"000000000"),{2,4,6,8},1)*2),"00"))),10),1))=TEXT(VALUE(RIGHT(C57,1)),"0"),"תקין","מספר זהוי שגוי")</f>
        <v>תקין</v>
      </c>
      <c r="E57" t="s">
        <v>126</v>
      </c>
      <c r="F57" t="s">
        <v>82</v>
      </c>
      <c r="G57" t="s">
        <v>17</v>
      </c>
      <c r="H57" t="s">
        <v>18</v>
      </c>
      <c r="I57" t="s">
        <v>25</v>
      </c>
      <c r="J57">
        <v>7</v>
      </c>
      <c r="K57" t="s">
        <v>127</v>
      </c>
      <c r="L57" s="12">
        <v>32101</v>
      </c>
      <c r="M57" t="s">
        <v>29</v>
      </c>
      <c r="N57" s="29" t="s">
        <v>128</v>
      </c>
      <c r="O57" t="s">
        <v>129</v>
      </c>
      <c r="P57">
        <v>9</v>
      </c>
      <c r="Q57" t="s">
        <v>58</v>
      </c>
      <c r="R57" t="s">
        <v>61</v>
      </c>
      <c r="S57" t="s">
        <v>41</v>
      </c>
      <c r="T57" s="13">
        <v>500</v>
      </c>
      <c r="U57" t="s">
        <v>288</v>
      </c>
      <c r="V57">
        <v>1186780886</v>
      </c>
      <c r="W57" s="15" t="str">
        <f t="shared" si="1"/>
        <v>תקין</v>
      </c>
      <c r="X57" s="17"/>
    </row>
    <row r="58" spans="1:24" x14ac:dyDescent="0.3">
      <c r="A58" s="19" t="s">
        <v>289</v>
      </c>
      <c r="B58" t="s">
        <v>58</v>
      </c>
      <c r="C58" s="28">
        <v>311373658</v>
      </c>
      <c r="D58" s="14" t="str">
        <f t="array" ref="D58">IF((RIGHT(10-MOD(SUM(--MID(TEXT(C58,"000000000"),{1,3,5,7},1),--RIGHT(MID(TEXT(C58,"000000000"),{2,4,6,8},1)*2),--LEFT(TEXT((MID(TEXT(C58,"000000000"),{2,4,6,8},1)*2),"00"))),10),1))=TEXT(VALUE(RIGHT(C58,1)),"0"),"תקין","מספר זהוי שגוי")</f>
        <v>תקין</v>
      </c>
      <c r="E58" t="s">
        <v>130</v>
      </c>
      <c r="F58" t="s">
        <v>131</v>
      </c>
      <c r="G58" t="s">
        <v>17</v>
      </c>
      <c r="H58" t="s">
        <v>18</v>
      </c>
      <c r="I58" t="s">
        <v>25</v>
      </c>
      <c r="J58">
        <v>0</v>
      </c>
      <c r="K58" t="s">
        <v>60</v>
      </c>
      <c r="L58" s="12">
        <v>34207</v>
      </c>
      <c r="M58" t="s">
        <v>29</v>
      </c>
      <c r="N58" s="29" t="s">
        <v>132</v>
      </c>
      <c r="O58" t="s">
        <v>67</v>
      </c>
      <c r="P58">
        <v>92</v>
      </c>
      <c r="Q58" t="s">
        <v>58</v>
      </c>
      <c r="R58" t="s">
        <v>61</v>
      </c>
      <c r="S58" t="s">
        <v>41</v>
      </c>
      <c r="T58" s="13">
        <v>500</v>
      </c>
      <c r="U58" t="s">
        <v>288</v>
      </c>
      <c r="V58">
        <v>1186780894</v>
      </c>
      <c r="W58" s="15" t="str">
        <f t="shared" si="1"/>
        <v>תקין</v>
      </c>
      <c r="X58" s="17"/>
    </row>
    <row r="59" spans="1:24" x14ac:dyDescent="0.3">
      <c r="A59" s="19" t="s">
        <v>289</v>
      </c>
      <c r="B59" t="s">
        <v>58</v>
      </c>
      <c r="C59" s="28">
        <v>317903516</v>
      </c>
      <c r="D59" s="14" t="str">
        <f t="array" ref="D59">IF((RIGHT(10-MOD(SUM(--MID(TEXT(C59,"000000000"),{1,3,5,7},1),--RIGHT(MID(TEXT(C59,"000000000"),{2,4,6,8},1)*2),--LEFT(TEXT((MID(TEXT(C59,"000000000"),{2,4,6,8},1)*2),"00"))),10),1))=TEXT(VALUE(RIGHT(C59,1)),"0"),"תקין","מספר זהוי שגוי")</f>
        <v>תקין</v>
      </c>
      <c r="E59" t="s">
        <v>133</v>
      </c>
      <c r="F59" t="s">
        <v>134</v>
      </c>
      <c r="G59" t="s">
        <v>17</v>
      </c>
      <c r="H59" t="s">
        <v>18</v>
      </c>
      <c r="I59" t="s">
        <v>25</v>
      </c>
      <c r="J59">
        <v>6</v>
      </c>
      <c r="K59" t="s">
        <v>60</v>
      </c>
      <c r="L59" s="12">
        <v>33288</v>
      </c>
      <c r="M59" t="s">
        <v>29</v>
      </c>
      <c r="N59" s="29">
        <v>548432927</v>
      </c>
      <c r="O59" t="s">
        <v>135</v>
      </c>
      <c r="P59">
        <v>14</v>
      </c>
      <c r="Q59" t="s">
        <v>58</v>
      </c>
      <c r="R59" t="s">
        <v>62</v>
      </c>
      <c r="S59" t="s">
        <v>40</v>
      </c>
      <c r="T59" s="13">
        <v>1000</v>
      </c>
      <c r="U59" t="s">
        <v>288</v>
      </c>
      <c r="V59">
        <v>1186780908</v>
      </c>
      <c r="W59" s="15" t="str">
        <f t="shared" si="1"/>
        <v>תקין</v>
      </c>
      <c r="X59" s="17"/>
    </row>
    <row r="60" spans="1:24" x14ac:dyDescent="0.3">
      <c r="A60" s="19" t="s">
        <v>289</v>
      </c>
      <c r="B60" t="s">
        <v>58</v>
      </c>
      <c r="C60" s="28">
        <v>327357844</v>
      </c>
      <c r="D60" s="14" t="str">
        <f t="array" ref="D60">IF((RIGHT(10-MOD(SUM(--MID(TEXT(C60,"000000000"),{1,3,5,7},1),--RIGHT(MID(TEXT(C60,"000000000"),{2,4,6,8},1)*2),--LEFT(TEXT((MID(TEXT(C60,"000000000"),{2,4,6,8},1)*2),"00"))),10),1))=TEXT(VALUE(RIGHT(C60,1)),"0"),"תקין","מספר זהוי שגוי")</f>
        <v>תקין</v>
      </c>
      <c r="E60" t="s">
        <v>136</v>
      </c>
      <c r="F60" t="s">
        <v>74</v>
      </c>
      <c r="G60" t="s">
        <v>17</v>
      </c>
      <c r="H60" t="s">
        <v>18</v>
      </c>
      <c r="I60" t="s">
        <v>25</v>
      </c>
      <c r="J60">
        <v>4</v>
      </c>
      <c r="K60" t="s">
        <v>137</v>
      </c>
      <c r="L60" s="12">
        <v>35611</v>
      </c>
      <c r="M60" t="s">
        <v>29</v>
      </c>
      <c r="N60" s="29" t="s">
        <v>138</v>
      </c>
      <c r="O60" t="s">
        <v>139</v>
      </c>
      <c r="P60">
        <v>4</v>
      </c>
      <c r="Q60" t="s">
        <v>58</v>
      </c>
      <c r="R60" t="s">
        <v>61</v>
      </c>
      <c r="S60" t="s">
        <v>41</v>
      </c>
      <c r="T60" s="13">
        <v>500</v>
      </c>
      <c r="U60" t="s">
        <v>288</v>
      </c>
      <c r="V60">
        <v>1186780916</v>
      </c>
      <c r="W60" s="15" t="str">
        <f t="shared" si="1"/>
        <v>תקין</v>
      </c>
      <c r="X60" s="17"/>
    </row>
    <row r="61" spans="1:24" x14ac:dyDescent="0.3">
      <c r="A61" s="19" t="s">
        <v>289</v>
      </c>
      <c r="B61" t="s">
        <v>58</v>
      </c>
      <c r="C61" s="28">
        <v>345260566</v>
      </c>
      <c r="D61" s="14" t="str">
        <f t="array" ref="D61">IF((RIGHT(10-MOD(SUM(--MID(TEXT(C61,"000000000"),{1,3,5,7},1),--RIGHT(MID(TEXT(C61,"000000000"),{2,4,6,8},1)*2),--LEFT(TEXT((MID(TEXT(C61,"000000000"),{2,4,6,8},1)*2),"00"))),10),1))=TEXT(VALUE(RIGHT(C61,1)),"0"),"תקין","מספר זהוי שגוי")</f>
        <v>תקין</v>
      </c>
      <c r="E61" t="s">
        <v>140</v>
      </c>
      <c r="F61" t="s">
        <v>141</v>
      </c>
      <c r="G61" t="s">
        <v>17</v>
      </c>
      <c r="H61" t="s">
        <v>18</v>
      </c>
      <c r="I61" t="s">
        <v>25</v>
      </c>
      <c r="J61">
        <v>8</v>
      </c>
      <c r="K61" t="s">
        <v>142</v>
      </c>
      <c r="L61" s="12">
        <v>29805</v>
      </c>
      <c r="M61" t="s">
        <v>29</v>
      </c>
      <c r="N61" s="29" t="s">
        <v>143</v>
      </c>
      <c r="O61" t="s">
        <v>91</v>
      </c>
      <c r="P61">
        <v>84</v>
      </c>
      <c r="Q61" t="s">
        <v>58</v>
      </c>
      <c r="R61" t="s">
        <v>61</v>
      </c>
      <c r="S61" t="s">
        <v>41</v>
      </c>
      <c r="T61" s="13">
        <v>700</v>
      </c>
      <c r="U61" t="s">
        <v>288</v>
      </c>
      <c r="V61">
        <v>1186780924</v>
      </c>
      <c r="W61" s="15" t="str">
        <f t="shared" si="1"/>
        <v>תקין</v>
      </c>
      <c r="X61" s="17"/>
    </row>
    <row r="62" spans="1:24" x14ac:dyDescent="0.3">
      <c r="A62" s="19" t="s">
        <v>289</v>
      </c>
      <c r="B62" t="s">
        <v>58</v>
      </c>
      <c r="C62" s="28">
        <v>28125037</v>
      </c>
      <c r="D62" s="14" t="str">
        <f t="array" ref="D62">IF((RIGHT(10-MOD(SUM(--MID(TEXT(C62,"000000000"),{1,3,5,7},1),--RIGHT(MID(TEXT(C62,"000000000"),{2,4,6,8},1)*2),--LEFT(TEXT((MID(TEXT(C62,"000000000"),{2,4,6,8},1)*2),"00"))),10),1))=TEXT(VALUE(RIGHT(C62,1)),"0"),"תקין","מספר זהוי שגוי")</f>
        <v>תקין</v>
      </c>
      <c r="E62" t="s">
        <v>172</v>
      </c>
      <c r="F62" t="s">
        <v>173</v>
      </c>
      <c r="G62" t="s">
        <v>17</v>
      </c>
      <c r="H62" t="s">
        <v>18</v>
      </c>
      <c r="I62" t="s">
        <v>25</v>
      </c>
      <c r="J62">
        <v>5</v>
      </c>
      <c r="K62" t="s">
        <v>60</v>
      </c>
      <c r="L62" s="12">
        <v>25984</v>
      </c>
      <c r="M62" t="s">
        <v>29</v>
      </c>
      <c r="N62" s="29" t="s">
        <v>174</v>
      </c>
      <c r="O62" t="s">
        <v>91</v>
      </c>
      <c r="P62">
        <v>88</v>
      </c>
      <c r="Q62" t="s">
        <v>58</v>
      </c>
      <c r="R62" t="s">
        <v>61</v>
      </c>
      <c r="S62" t="s">
        <v>41</v>
      </c>
      <c r="T62" s="13">
        <v>500</v>
      </c>
      <c r="U62" t="s">
        <v>288</v>
      </c>
      <c r="V62">
        <v>1186781203</v>
      </c>
      <c r="W62" s="15" t="str">
        <f t="shared" si="1"/>
        <v>תקין</v>
      </c>
      <c r="X62" s="17"/>
    </row>
    <row r="63" spans="1:24" s="31" customFormat="1" x14ac:dyDescent="0.3">
      <c r="A63" s="31" t="s">
        <v>33</v>
      </c>
      <c r="B63" s="31" t="s">
        <v>58</v>
      </c>
      <c r="C63" s="38">
        <v>35842889</v>
      </c>
      <c r="D63" s="32" t="str">
        <f t="array" ref="D63">IF((RIGHT(10-MOD(SUM(--MID(TEXT(C63,"000000000"),{1,3,5,7},1),--RIGHT(MID(TEXT(C63,"000000000"),{2,4,6,8},1)*2),--LEFT(TEXT((MID(TEXT(C63,"000000000"),{2,4,6,8},1)*2),"00"))),10),1))=TEXT(VALUE(RIGHT(C63,1)),"0"),"תקין","מספר זהוי שגוי")</f>
        <v>תקין</v>
      </c>
      <c r="E63" s="31" t="s">
        <v>197</v>
      </c>
      <c r="F63" s="31" t="s">
        <v>198</v>
      </c>
      <c r="G63" s="31" t="s">
        <v>17</v>
      </c>
      <c r="H63" s="31" t="s">
        <v>18</v>
      </c>
      <c r="I63" s="31" t="s">
        <v>25</v>
      </c>
      <c r="J63" s="31">
        <v>11</v>
      </c>
      <c r="K63" s="31" t="s">
        <v>60</v>
      </c>
      <c r="L63" s="33">
        <v>29315</v>
      </c>
      <c r="M63" s="31" t="s">
        <v>29</v>
      </c>
      <c r="N63" s="34">
        <v>548482316</v>
      </c>
      <c r="O63" s="31" t="s">
        <v>129</v>
      </c>
      <c r="P63" s="31">
        <v>23</v>
      </c>
      <c r="Q63" s="31" t="s">
        <v>58</v>
      </c>
      <c r="R63" s="31" t="s">
        <v>199</v>
      </c>
      <c r="S63" s="31" t="s">
        <v>39</v>
      </c>
      <c r="T63" s="35">
        <v>750</v>
      </c>
      <c r="U63" s="31" t="s">
        <v>288</v>
      </c>
      <c r="V63" s="31">
        <v>1186780045</v>
      </c>
      <c r="W63" s="36" t="str">
        <f t="shared" si="1"/>
        <v>תקין</v>
      </c>
      <c r="X63" s="37"/>
    </row>
    <row r="64" spans="1:24" s="31" customFormat="1" x14ac:dyDescent="0.3">
      <c r="A64" s="31" t="s">
        <v>33</v>
      </c>
      <c r="B64" s="31" t="s">
        <v>58</v>
      </c>
      <c r="C64" s="38">
        <v>27015676</v>
      </c>
      <c r="D64" s="32" t="str">
        <f t="array" ref="D64">IF((RIGHT(10-MOD(SUM(--MID(TEXT(C64,"000000000"),{1,3,5,7},1),--RIGHT(MID(TEXT(C64,"000000000"),{2,4,6,8},1)*2),--LEFT(TEXT((MID(TEXT(C64,"000000000"),{2,4,6,8},1)*2),"00"))),10),1))=TEXT(VALUE(RIGHT(C64,1)),"0"),"תקין","מספר זהוי שגוי")</f>
        <v>תקין</v>
      </c>
      <c r="E64" s="31" t="s">
        <v>175</v>
      </c>
      <c r="F64" s="31" t="s">
        <v>176</v>
      </c>
      <c r="G64" s="31" t="s">
        <v>17</v>
      </c>
      <c r="H64" s="31" t="s">
        <v>18</v>
      </c>
      <c r="I64" s="31" t="s">
        <v>25</v>
      </c>
      <c r="J64" s="31">
        <v>3</v>
      </c>
      <c r="K64" s="31" t="s">
        <v>177</v>
      </c>
      <c r="L64" s="33">
        <v>21849</v>
      </c>
      <c r="M64" s="31" t="s">
        <v>29</v>
      </c>
      <c r="N64" s="34">
        <v>500000000</v>
      </c>
      <c r="O64" s="31" t="s">
        <v>105</v>
      </c>
      <c r="P64" s="31">
        <v>26</v>
      </c>
      <c r="Q64" s="31" t="s">
        <v>58</v>
      </c>
      <c r="R64" s="31" t="s">
        <v>61</v>
      </c>
      <c r="S64" s="31" t="s">
        <v>41</v>
      </c>
      <c r="T64" s="35">
        <v>747</v>
      </c>
      <c r="U64" s="31" t="s">
        <v>288</v>
      </c>
      <c r="V64" s="31">
        <v>1186781211</v>
      </c>
      <c r="W64" s="36" t="str">
        <f t="shared" si="1"/>
        <v>תקין</v>
      </c>
      <c r="X64" s="37"/>
    </row>
    <row r="65" spans="1:24" s="31" customFormat="1" x14ac:dyDescent="0.3">
      <c r="A65" s="31" t="s">
        <v>33</v>
      </c>
      <c r="B65" s="31" t="s">
        <v>58</v>
      </c>
      <c r="C65" s="38">
        <v>34492157</v>
      </c>
      <c r="D65" s="32" t="str">
        <f t="array" ref="D65">IF((RIGHT(10-MOD(SUM(--MID(TEXT(C65,"000000000"),{1,3,5,7},1),--RIGHT(MID(TEXT(C65,"000000000"),{2,4,6,8},1)*2),--LEFT(TEXT((MID(TEXT(C65,"000000000"),{2,4,6,8},1)*2),"00"))),10),1))=TEXT(VALUE(RIGHT(C65,1)),"0"),"תקין","מספר זהוי שגוי")</f>
        <v>תקין</v>
      </c>
      <c r="E65" s="31" t="s">
        <v>178</v>
      </c>
      <c r="F65" s="31" t="s">
        <v>179</v>
      </c>
      <c r="G65" s="31" t="s">
        <v>17</v>
      </c>
      <c r="H65" s="31" t="s">
        <v>18</v>
      </c>
      <c r="I65" s="31" t="s">
        <v>25</v>
      </c>
      <c r="J65" s="31">
        <v>6</v>
      </c>
      <c r="K65" s="31" t="s">
        <v>60</v>
      </c>
      <c r="L65" s="33">
        <v>28535</v>
      </c>
      <c r="M65" s="31" t="s">
        <v>29</v>
      </c>
      <c r="N65" s="34">
        <v>500000000</v>
      </c>
      <c r="O65" s="31" t="s">
        <v>91</v>
      </c>
      <c r="P65" s="31">
        <v>9</v>
      </c>
      <c r="Q65" s="31" t="s">
        <v>58</v>
      </c>
      <c r="R65" s="31" t="s">
        <v>61</v>
      </c>
      <c r="S65" s="31" t="s">
        <v>41</v>
      </c>
      <c r="T65" s="35">
        <v>1500</v>
      </c>
      <c r="U65" s="31" t="s">
        <v>288</v>
      </c>
      <c r="V65" s="31">
        <v>1186781319</v>
      </c>
      <c r="W65" s="36" t="str">
        <f t="shared" si="1"/>
        <v>תקין</v>
      </c>
      <c r="X65" s="37"/>
    </row>
    <row r="66" spans="1:24" s="31" customFormat="1" x14ac:dyDescent="0.3">
      <c r="A66" s="31" t="s">
        <v>35</v>
      </c>
      <c r="B66" s="31" t="s">
        <v>58</v>
      </c>
      <c r="C66" s="38">
        <v>7141534</v>
      </c>
      <c r="D66" s="32" t="str">
        <f t="array" ref="D66">IF((RIGHT(10-MOD(SUM(--MID(TEXT(C66,"000000000"),{1,3,5,7},1),--RIGHT(MID(TEXT(C66,"000000000"),{2,4,6,8},1)*2),--LEFT(TEXT((MID(TEXT(C66,"000000000"),{2,4,6,8},1)*2),"00"))),10),1))=TEXT(VALUE(RIGHT(C66,1)),"0"),"תקין","מספר זהוי שגוי")</f>
        <v>תקין</v>
      </c>
      <c r="E66" s="31" t="s">
        <v>180</v>
      </c>
      <c r="F66" s="31" t="s">
        <v>181</v>
      </c>
      <c r="G66" s="31" t="s">
        <v>16</v>
      </c>
      <c r="H66" s="31" t="s">
        <v>18</v>
      </c>
      <c r="I66" s="31" t="s">
        <v>26</v>
      </c>
      <c r="J66" s="31">
        <v>1</v>
      </c>
      <c r="K66" s="31" t="s">
        <v>177</v>
      </c>
      <c r="L66" s="33">
        <v>15688</v>
      </c>
      <c r="M66" s="31" t="s">
        <v>29</v>
      </c>
      <c r="N66" s="34">
        <v>502264265</v>
      </c>
      <c r="O66" s="31" t="s">
        <v>67</v>
      </c>
      <c r="P66" s="31">
        <v>104</v>
      </c>
      <c r="Q66" s="31" t="s">
        <v>58</v>
      </c>
      <c r="R66" s="31" t="s">
        <v>61</v>
      </c>
      <c r="S66" s="31" t="s">
        <v>41</v>
      </c>
      <c r="T66" s="35">
        <v>500</v>
      </c>
      <c r="U66" s="31" t="s">
        <v>288</v>
      </c>
      <c r="V66" s="31">
        <v>1186781327</v>
      </c>
      <c r="W66" s="36" t="str">
        <f t="shared" si="1"/>
        <v>תקין</v>
      </c>
      <c r="X66" s="37"/>
    </row>
    <row r="67" spans="1:24" s="31" customFormat="1" x14ac:dyDescent="0.3">
      <c r="A67" s="31" t="s">
        <v>35</v>
      </c>
      <c r="B67" s="31" t="s">
        <v>58</v>
      </c>
      <c r="C67" s="38">
        <v>324504398</v>
      </c>
      <c r="D67" s="32" t="str">
        <f t="array" ref="D67">IF((RIGHT(10-MOD(SUM(--MID(TEXT(C67,"000000000"),{1,3,5,7},1),--RIGHT(MID(TEXT(C67,"000000000"),{2,4,6,8},1)*2),--LEFT(TEXT((MID(TEXT(C67,"000000000"),{2,4,6,8},1)*2),"00"))),10),1))=TEXT(VALUE(RIGHT(C67,1)),"0"),"תקין","מספר זהוי שגוי")</f>
        <v>תקין</v>
      </c>
      <c r="E67" s="31" t="s">
        <v>182</v>
      </c>
      <c r="F67" s="31" t="s">
        <v>74</v>
      </c>
      <c r="G67" s="31" t="s">
        <v>17</v>
      </c>
      <c r="H67" s="31" t="s">
        <v>18</v>
      </c>
      <c r="I67" s="31" t="s">
        <v>25</v>
      </c>
      <c r="J67" s="31">
        <v>2</v>
      </c>
      <c r="K67" s="31" t="s">
        <v>183</v>
      </c>
      <c r="L67" s="33">
        <v>12126</v>
      </c>
      <c r="M67" s="31" t="s">
        <v>29</v>
      </c>
      <c r="N67" s="34" t="s">
        <v>184</v>
      </c>
      <c r="O67" s="31" t="s">
        <v>185</v>
      </c>
      <c r="P67" s="31">
        <v>9</v>
      </c>
      <c r="Q67" s="31" t="s">
        <v>58</v>
      </c>
      <c r="R67" s="31" t="s">
        <v>61</v>
      </c>
      <c r="S67" s="31" t="s">
        <v>41</v>
      </c>
      <c r="T67" s="35">
        <v>500</v>
      </c>
      <c r="U67" s="31" t="s">
        <v>288</v>
      </c>
      <c r="V67" s="31">
        <v>1186781335</v>
      </c>
      <c r="W67" s="36" t="str">
        <f t="shared" si="1"/>
        <v>תקין</v>
      </c>
      <c r="X67" s="37"/>
    </row>
    <row r="68" spans="1:24" s="31" customFormat="1" x14ac:dyDescent="0.3">
      <c r="A68" s="31" t="s">
        <v>36</v>
      </c>
      <c r="B68" s="31" t="s">
        <v>58</v>
      </c>
      <c r="C68" s="38">
        <v>53092383</v>
      </c>
      <c r="D68" s="32" t="str">
        <f t="array" ref="D68">IF((RIGHT(10-MOD(SUM(--MID(TEXT(C68,"000000000"),{1,3,5,7},1),--RIGHT(MID(TEXT(C68,"000000000"),{2,4,6,8},1)*2),--LEFT(TEXT((MID(TEXT(C68,"000000000"),{2,4,6,8},1)*2),"00"))),10),1))=TEXT(VALUE(RIGHT(C68,1)),"0"),"תקין","מספר זהוי שגוי")</f>
        <v>תקין</v>
      </c>
      <c r="E68" s="31" t="s">
        <v>240</v>
      </c>
      <c r="F68" s="31" t="s">
        <v>64</v>
      </c>
      <c r="G68" s="31" t="s">
        <v>16</v>
      </c>
      <c r="H68" s="31" t="s">
        <v>18</v>
      </c>
      <c r="I68" s="31" t="s">
        <v>26</v>
      </c>
      <c r="J68" s="31">
        <v>2</v>
      </c>
      <c r="K68" s="31" t="s">
        <v>60</v>
      </c>
      <c r="L68" s="33">
        <v>29998</v>
      </c>
      <c r="M68" s="31" t="s">
        <v>29</v>
      </c>
      <c r="N68" s="34">
        <v>500000000</v>
      </c>
      <c r="O68" s="31" t="s">
        <v>105</v>
      </c>
      <c r="P68" s="31">
        <v>28</v>
      </c>
      <c r="Q68" s="31" t="s">
        <v>58</v>
      </c>
      <c r="R68" s="31" t="s">
        <v>199</v>
      </c>
      <c r="S68" s="31" t="s">
        <v>39</v>
      </c>
      <c r="T68" s="35">
        <v>1000</v>
      </c>
      <c r="U68" s="31" t="s">
        <v>288</v>
      </c>
      <c r="V68" s="31">
        <v>1186779853</v>
      </c>
      <c r="W68" s="36" t="str">
        <f t="shared" si="1"/>
        <v>תקין</v>
      </c>
      <c r="X68" s="37"/>
    </row>
    <row r="69" spans="1:24" s="31" customFormat="1" x14ac:dyDescent="0.3">
      <c r="A69" s="31" t="s">
        <v>36</v>
      </c>
      <c r="B69" s="31" t="s">
        <v>58</v>
      </c>
      <c r="C69" s="38">
        <v>214210874</v>
      </c>
      <c r="D69" s="32" t="str">
        <f t="array" ref="D69">IF((RIGHT(10-MOD(SUM(--MID(TEXT(C69,"000000000"),{1,3,5,7},1),--RIGHT(MID(TEXT(C69,"000000000"),{2,4,6,8},1)*2),--LEFT(TEXT((MID(TEXT(C69,"000000000"),{2,4,6,8},1)*2),"00"))),10),1))=TEXT(VALUE(RIGHT(C69,1)),"0"),"תקין","מספר זהוי שגוי")</f>
        <v>תקין</v>
      </c>
      <c r="E69" s="31" t="s">
        <v>241</v>
      </c>
      <c r="F69" s="31" t="s">
        <v>96</v>
      </c>
      <c r="G69" s="31" t="s">
        <v>16</v>
      </c>
      <c r="H69" s="31" t="s">
        <v>18</v>
      </c>
      <c r="I69" s="31" t="s">
        <v>23</v>
      </c>
      <c r="J69" s="31">
        <v>1</v>
      </c>
      <c r="K69" s="31" t="s">
        <v>60</v>
      </c>
      <c r="L69" s="33">
        <v>37722</v>
      </c>
      <c r="M69" s="31" t="s">
        <v>29</v>
      </c>
      <c r="N69" s="34" t="s">
        <v>242</v>
      </c>
      <c r="O69" s="31" t="s">
        <v>243</v>
      </c>
      <c r="P69" s="31">
        <v>11</v>
      </c>
      <c r="Q69" s="31" t="s">
        <v>58</v>
      </c>
      <c r="R69" s="31" t="s">
        <v>61</v>
      </c>
      <c r="S69" s="31" t="s">
        <v>41</v>
      </c>
      <c r="T69" s="35">
        <v>1000</v>
      </c>
      <c r="U69" s="31" t="s">
        <v>288</v>
      </c>
      <c r="V69" s="31">
        <v>1186779845</v>
      </c>
      <c r="W69" s="36" t="str">
        <f t="shared" si="1"/>
        <v>תקין</v>
      </c>
      <c r="X69" s="37"/>
    </row>
    <row r="70" spans="1:24" s="31" customFormat="1" x14ac:dyDescent="0.3">
      <c r="A70" s="31" t="s">
        <v>36</v>
      </c>
      <c r="B70" s="31" t="s">
        <v>58</v>
      </c>
      <c r="C70" s="38">
        <v>323054718</v>
      </c>
      <c r="D70" s="32" t="str">
        <f t="array" ref="D70">IF((RIGHT(10-MOD(SUM(--MID(TEXT(C70,"000000000"),{1,3,5,7},1),--RIGHT(MID(TEXT(C70,"000000000"),{2,4,6,8},1)*2),--LEFT(TEXT((MID(TEXT(C70,"000000000"),{2,4,6,8},1)*2),"00"))),10),1))=TEXT(VALUE(RIGHT(C70,1)),"0"),"תקין","מספר זהוי שגוי")</f>
        <v>תקין</v>
      </c>
      <c r="E70" s="31" t="s">
        <v>244</v>
      </c>
      <c r="F70" s="31" t="s">
        <v>245</v>
      </c>
      <c r="G70" s="31" t="s">
        <v>16</v>
      </c>
      <c r="H70" s="31" t="s">
        <v>18</v>
      </c>
      <c r="I70" s="31" t="s">
        <v>23</v>
      </c>
      <c r="J70" s="31">
        <v>1</v>
      </c>
      <c r="K70" s="31" t="s">
        <v>60</v>
      </c>
      <c r="L70" s="33">
        <v>37098</v>
      </c>
      <c r="M70" s="31" t="s">
        <v>29</v>
      </c>
      <c r="N70" s="34">
        <v>500000000</v>
      </c>
      <c r="O70" s="31" t="s">
        <v>129</v>
      </c>
      <c r="P70" s="31">
        <v>11</v>
      </c>
      <c r="Q70" s="31" t="s">
        <v>58</v>
      </c>
      <c r="R70" s="31" t="s">
        <v>61</v>
      </c>
      <c r="S70" s="31" t="s">
        <v>41</v>
      </c>
      <c r="T70" s="35">
        <v>1000</v>
      </c>
      <c r="U70" s="31" t="s">
        <v>288</v>
      </c>
      <c r="V70" s="31">
        <v>1186779837</v>
      </c>
      <c r="W70" s="36" t="str">
        <f t="shared" si="1"/>
        <v>תקין</v>
      </c>
      <c r="X70" s="37"/>
    </row>
    <row r="71" spans="1:24" s="31" customFormat="1" x14ac:dyDescent="0.3">
      <c r="A71" s="31" t="s">
        <v>36</v>
      </c>
      <c r="B71" s="31" t="s">
        <v>58</v>
      </c>
      <c r="C71" s="38">
        <v>31442023</v>
      </c>
      <c r="D71" s="32" t="str">
        <f t="array" ref="D71">IF((RIGHT(10-MOD(SUM(--MID(TEXT(C71,"000000000"),{1,3,5,7},1),--RIGHT(MID(TEXT(C71,"000000000"),{2,4,6,8},1)*2),--LEFT(TEXT((MID(TEXT(C71,"000000000"),{2,4,6,8},1)*2),"00"))),10),1))=TEXT(VALUE(RIGHT(C71,1)),"0"),"תקין","מספר זהוי שגוי")</f>
        <v>תקין</v>
      </c>
      <c r="E71" s="31" t="s">
        <v>144</v>
      </c>
      <c r="F71" s="31" t="s">
        <v>145</v>
      </c>
      <c r="G71" s="31" t="s">
        <v>17</v>
      </c>
      <c r="H71" s="31" t="s">
        <v>18</v>
      </c>
      <c r="I71" s="31" t="s">
        <v>25</v>
      </c>
      <c r="J71" s="31">
        <v>7</v>
      </c>
      <c r="K71" s="31" t="s">
        <v>60</v>
      </c>
      <c r="L71" s="33">
        <v>28444</v>
      </c>
      <c r="M71" s="31" t="s">
        <v>29</v>
      </c>
      <c r="N71" s="34" t="s">
        <v>146</v>
      </c>
      <c r="O71" s="31" t="s">
        <v>110</v>
      </c>
      <c r="P71" s="31">
        <v>25</v>
      </c>
      <c r="Q71" s="31" t="s">
        <v>58</v>
      </c>
      <c r="R71" s="31" t="s">
        <v>61</v>
      </c>
      <c r="S71" s="31" t="s">
        <v>41</v>
      </c>
      <c r="T71" s="35">
        <v>750</v>
      </c>
      <c r="U71" s="31" t="s">
        <v>288</v>
      </c>
      <c r="V71" s="31">
        <v>1186780932</v>
      </c>
      <c r="W71" s="36" t="str">
        <f t="shared" ref="W71:W81" si="2">IF(LEN(V71)&gt;0,IF(LEN(V71)&lt;9,"לא תקין",IF(LEN(V71)&gt;10,"לא תקין",IF(MOD((RIGHT(V71,1)*1)+(MID(V71,LEN(V71)-1,1)*2)+(MID(V71,LEN(V71)-2,1)*3)+(MID(V71,LEN(V71)-3,1)*4)+(MID(V71,LEN(V71)-4,1)*5)+(MID(V71,LEN(V71)-5,1)*6)+(MID(V71,LEN(V71)-6,1)*7)+(MID(V71,LEN(V71)-7,1)*8)+(MID(V71,LEN(V71)-8,1)*9)+(IF(LEN(V71)=9,0,MID(V71,LEN(V71)-9,1))*10),11)=0,"תקין","לא תקין"))),"ריק")</f>
        <v>תקין</v>
      </c>
      <c r="X71" s="37"/>
    </row>
    <row r="72" spans="1:24" x14ac:dyDescent="0.3">
      <c r="A72" t="s">
        <v>36</v>
      </c>
      <c r="B72" t="s">
        <v>58</v>
      </c>
      <c r="C72" s="28">
        <v>37362894</v>
      </c>
      <c r="D72" s="14" t="str">
        <f t="array" ref="D72">IF((RIGHT(10-MOD(SUM(--MID(TEXT(C72,"000000000"),{1,3,5,7},1),--RIGHT(MID(TEXT(C72,"000000000"),{2,4,6,8},1)*2),--LEFT(TEXT((MID(TEXT(C72,"000000000"),{2,4,6,8},1)*2),"00"))),10),1))=TEXT(VALUE(RIGHT(C72,1)),"0"),"תקין","מספר זהוי שגוי")</f>
        <v>תקין</v>
      </c>
      <c r="E72" t="s">
        <v>144</v>
      </c>
      <c r="F72" t="s">
        <v>147</v>
      </c>
      <c r="G72" t="s">
        <v>16</v>
      </c>
      <c r="H72" t="s">
        <v>18</v>
      </c>
      <c r="I72" t="s">
        <v>26</v>
      </c>
      <c r="J72">
        <v>4</v>
      </c>
      <c r="K72" t="s">
        <v>60</v>
      </c>
      <c r="L72" s="12">
        <v>29240</v>
      </c>
      <c r="M72" t="s">
        <v>29</v>
      </c>
      <c r="N72" s="29" t="s">
        <v>148</v>
      </c>
      <c r="O72" t="s">
        <v>80</v>
      </c>
      <c r="P72">
        <v>65</v>
      </c>
      <c r="Q72" t="s">
        <v>58</v>
      </c>
      <c r="R72" t="s">
        <v>61</v>
      </c>
      <c r="S72" t="s">
        <v>41</v>
      </c>
      <c r="T72" s="13">
        <v>1000</v>
      </c>
      <c r="U72" t="s">
        <v>288</v>
      </c>
      <c r="V72">
        <v>1186780940</v>
      </c>
      <c r="W72" s="15" t="str">
        <f t="shared" si="2"/>
        <v>תקין</v>
      </c>
      <c r="X72" s="17"/>
    </row>
    <row r="73" spans="1:24" x14ac:dyDescent="0.3">
      <c r="A73" t="s">
        <v>36</v>
      </c>
      <c r="B73" t="s">
        <v>58</v>
      </c>
      <c r="C73" s="28">
        <v>300159878</v>
      </c>
      <c r="D73" s="14" t="str">
        <f t="array" ref="D73">IF((RIGHT(10-MOD(SUM(--MID(TEXT(C73,"000000000"),{1,3,5,7},1),--RIGHT(MID(TEXT(C73,"000000000"),{2,4,6,8},1)*2),--LEFT(TEXT((MID(TEXT(C73,"000000000"),{2,4,6,8},1)*2),"00"))),10),1))=TEXT(VALUE(RIGHT(C73,1)),"0"),"תקין","מספר זהוי שגוי")</f>
        <v>תקין</v>
      </c>
      <c r="E73" t="s">
        <v>149</v>
      </c>
      <c r="F73" t="s">
        <v>150</v>
      </c>
      <c r="G73" t="s">
        <v>16</v>
      </c>
      <c r="H73" t="s">
        <v>18</v>
      </c>
      <c r="I73" t="s">
        <v>25</v>
      </c>
      <c r="J73">
        <v>8</v>
      </c>
      <c r="K73" t="s">
        <v>60</v>
      </c>
      <c r="L73" s="12">
        <v>31679</v>
      </c>
      <c r="M73" t="s">
        <v>29</v>
      </c>
      <c r="N73" s="29" t="s">
        <v>151</v>
      </c>
      <c r="O73" t="s">
        <v>68</v>
      </c>
      <c r="P73">
        <v>54</v>
      </c>
      <c r="Q73" t="s">
        <v>58</v>
      </c>
      <c r="R73" t="s">
        <v>61</v>
      </c>
      <c r="S73" t="s">
        <v>41</v>
      </c>
      <c r="T73" s="13">
        <v>1000</v>
      </c>
      <c r="U73" t="s">
        <v>288</v>
      </c>
      <c r="V73">
        <v>1186780959</v>
      </c>
      <c r="W73" s="15" t="str">
        <f t="shared" si="2"/>
        <v>תקין</v>
      </c>
      <c r="X73" s="17"/>
    </row>
    <row r="74" spans="1:24" x14ac:dyDescent="0.3">
      <c r="A74" t="s">
        <v>36</v>
      </c>
      <c r="B74" t="s">
        <v>58</v>
      </c>
      <c r="C74" s="28">
        <v>300253739</v>
      </c>
      <c r="D74" s="14" t="str">
        <f t="array" ref="D74">IF((RIGHT(10-MOD(SUM(--MID(TEXT(C74,"000000000"),{1,3,5,7},1),--RIGHT(MID(TEXT(C74,"000000000"),{2,4,6,8},1)*2),--LEFT(TEXT((MID(TEXT(C74,"000000000"),{2,4,6,8},1)*2),"00"))),10),1))=TEXT(VALUE(RIGHT(C74,1)),"0"),"תקין","מספר זהוי שגוי")</f>
        <v>תקין</v>
      </c>
      <c r="E74" t="s">
        <v>152</v>
      </c>
      <c r="F74" t="s">
        <v>153</v>
      </c>
      <c r="G74" t="s">
        <v>17</v>
      </c>
      <c r="H74" t="s">
        <v>18</v>
      </c>
      <c r="I74" t="s">
        <v>25</v>
      </c>
      <c r="J74">
        <v>0</v>
      </c>
      <c r="K74" t="s">
        <v>60</v>
      </c>
      <c r="L74" s="12">
        <v>31704</v>
      </c>
      <c r="M74" t="s">
        <v>29</v>
      </c>
      <c r="N74" s="29">
        <v>500000000</v>
      </c>
      <c r="O74" t="s">
        <v>154</v>
      </c>
      <c r="P74">
        <v>5</v>
      </c>
      <c r="Q74" t="s">
        <v>58</v>
      </c>
      <c r="R74" t="s">
        <v>61</v>
      </c>
      <c r="S74" t="s">
        <v>41</v>
      </c>
      <c r="T74" s="13">
        <v>1000</v>
      </c>
      <c r="U74" t="s">
        <v>288</v>
      </c>
      <c r="V74">
        <v>1186780967</v>
      </c>
      <c r="W74" s="15" t="str">
        <f t="shared" si="2"/>
        <v>תקין</v>
      </c>
      <c r="X74" s="17"/>
    </row>
    <row r="75" spans="1:24" x14ac:dyDescent="0.3">
      <c r="A75" t="s">
        <v>36</v>
      </c>
      <c r="B75" t="s">
        <v>58</v>
      </c>
      <c r="C75" s="28">
        <v>300805512</v>
      </c>
      <c r="D75" s="14" t="str">
        <f t="array" ref="D75">IF((RIGHT(10-MOD(SUM(--MID(TEXT(C75,"000000000"),{1,3,5,7},1),--RIGHT(MID(TEXT(C75,"000000000"),{2,4,6,8},1)*2),--LEFT(TEXT((MID(TEXT(C75,"000000000"),{2,4,6,8},1)*2),"00"))),10),1))=TEXT(VALUE(RIGHT(C75,1)),"0"),"תקין","מספר זהוי שגוי")</f>
        <v>תקין</v>
      </c>
      <c r="E75" t="s">
        <v>155</v>
      </c>
      <c r="F75" t="s">
        <v>156</v>
      </c>
      <c r="G75" t="s">
        <v>16</v>
      </c>
      <c r="H75" t="s">
        <v>18</v>
      </c>
      <c r="I75" t="s">
        <v>26</v>
      </c>
      <c r="J75">
        <v>4</v>
      </c>
      <c r="K75" t="s">
        <v>60</v>
      </c>
      <c r="L75" s="12">
        <v>31909</v>
      </c>
      <c r="M75" t="s">
        <v>29</v>
      </c>
      <c r="N75" s="29" t="s">
        <v>157</v>
      </c>
      <c r="O75" t="s">
        <v>79</v>
      </c>
      <c r="P75">
        <v>1</v>
      </c>
      <c r="Q75" t="s">
        <v>58</v>
      </c>
      <c r="R75" t="s">
        <v>61</v>
      </c>
      <c r="S75" t="s">
        <v>41</v>
      </c>
      <c r="T75" s="13">
        <v>1000</v>
      </c>
      <c r="U75" t="s">
        <v>288</v>
      </c>
      <c r="V75">
        <v>1186780975</v>
      </c>
      <c r="W75" s="15" t="str">
        <f t="shared" si="2"/>
        <v>תקין</v>
      </c>
      <c r="X75" s="17"/>
    </row>
    <row r="76" spans="1:24" x14ac:dyDescent="0.3">
      <c r="A76" t="s">
        <v>36</v>
      </c>
      <c r="B76" t="s">
        <v>58</v>
      </c>
      <c r="C76" s="28">
        <v>323747121</v>
      </c>
      <c r="D76" s="14" t="str">
        <f t="array" ref="D76">IF((RIGHT(10-MOD(SUM(--MID(TEXT(C76,"000000000"),{1,3,5,7},1),--RIGHT(MID(TEXT(C76,"000000000"),{2,4,6,8},1)*2),--LEFT(TEXT((MID(TEXT(C76,"000000000"),{2,4,6,8},1)*2),"00"))),10),1))=TEXT(VALUE(RIGHT(C76,1)),"0"),"תקין","מספר זהוי שגוי")</f>
        <v>תקין</v>
      </c>
      <c r="E76" t="s">
        <v>158</v>
      </c>
      <c r="F76" t="s">
        <v>159</v>
      </c>
      <c r="G76" t="s">
        <v>17</v>
      </c>
      <c r="H76" t="s">
        <v>18</v>
      </c>
      <c r="I76" t="s">
        <v>25</v>
      </c>
      <c r="J76">
        <v>6</v>
      </c>
      <c r="K76" t="s">
        <v>66</v>
      </c>
      <c r="L76" s="12">
        <v>25702</v>
      </c>
      <c r="M76" t="s">
        <v>29</v>
      </c>
      <c r="N76" s="29" t="s">
        <v>160</v>
      </c>
      <c r="O76" t="s">
        <v>91</v>
      </c>
      <c r="P76">
        <v>9</v>
      </c>
      <c r="Q76" t="s">
        <v>58</v>
      </c>
      <c r="R76" t="s">
        <v>61</v>
      </c>
      <c r="S76" t="s">
        <v>41</v>
      </c>
      <c r="T76" s="13">
        <v>1000</v>
      </c>
      <c r="U76" t="s">
        <v>288</v>
      </c>
      <c r="V76">
        <v>1186781149</v>
      </c>
      <c r="W76" s="15" t="str">
        <f t="shared" si="2"/>
        <v>תקין</v>
      </c>
      <c r="X76" s="17"/>
    </row>
    <row r="77" spans="1:24" x14ac:dyDescent="0.3">
      <c r="A77" t="s">
        <v>36</v>
      </c>
      <c r="B77" t="s">
        <v>58</v>
      </c>
      <c r="C77" s="28">
        <v>329913461</v>
      </c>
      <c r="D77" s="14" t="str">
        <f t="array" ref="D77">IF((RIGHT(10-MOD(SUM(--MID(TEXT(C77,"000000000"),{1,3,5,7},1),--RIGHT(MID(TEXT(C77,"000000000"),{2,4,6,8},1)*2),--LEFT(TEXT((MID(TEXT(C77,"000000000"),{2,4,6,8},1)*2),"00"))),10),1))=TEXT(VALUE(RIGHT(C77,1)),"0"),"תקין","מספר זהוי שגוי")</f>
        <v>תקין</v>
      </c>
      <c r="E77" t="s">
        <v>161</v>
      </c>
      <c r="F77" t="s">
        <v>84</v>
      </c>
      <c r="G77" t="s">
        <v>17</v>
      </c>
      <c r="H77" t="s">
        <v>18</v>
      </c>
      <c r="I77" t="s">
        <v>23</v>
      </c>
      <c r="J77">
        <v>1</v>
      </c>
      <c r="K77" t="s">
        <v>162</v>
      </c>
      <c r="L77" s="12">
        <v>38042</v>
      </c>
      <c r="M77" t="s">
        <v>29</v>
      </c>
      <c r="N77" s="29">
        <v>500000000</v>
      </c>
      <c r="O77" t="s">
        <v>91</v>
      </c>
      <c r="P77">
        <v>98</v>
      </c>
      <c r="Q77" t="s">
        <v>58</v>
      </c>
      <c r="R77" t="s">
        <v>61</v>
      </c>
      <c r="S77" t="s">
        <v>41</v>
      </c>
      <c r="T77" s="13">
        <v>1000</v>
      </c>
      <c r="U77" t="s">
        <v>288</v>
      </c>
      <c r="V77">
        <v>1186781165</v>
      </c>
      <c r="W77" s="15" t="str">
        <f t="shared" si="2"/>
        <v>תקין</v>
      </c>
      <c r="X77" s="17"/>
    </row>
    <row r="78" spans="1:24" x14ac:dyDescent="0.3">
      <c r="A78" t="s">
        <v>36</v>
      </c>
      <c r="B78" t="s">
        <v>58</v>
      </c>
      <c r="C78" s="28">
        <v>22306732</v>
      </c>
      <c r="D78" s="14" t="str">
        <f t="array" ref="D78">IF((RIGHT(10-MOD(SUM(--MID(TEXT(C78,"000000000"),{1,3,5,7},1),--RIGHT(MID(TEXT(C78,"000000000"),{2,4,6,8},1)*2),--LEFT(TEXT((MID(TEXT(C78,"000000000"),{2,4,6,8},1)*2),"00"))),10),1))=TEXT(VALUE(RIGHT(C78,1)),"0"),"תקין","מספר זהוי שגוי")</f>
        <v>תקין</v>
      </c>
      <c r="E78" t="s">
        <v>186</v>
      </c>
      <c r="F78" t="s">
        <v>167</v>
      </c>
      <c r="G78" t="s">
        <v>17</v>
      </c>
      <c r="H78" t="s">
        <v>18</v>
      </c>
      <c r="I78" t="s">
        <v>25</v>
      </c>
      <c r="J78">
        <v>6</v>
      </c>
      <c r="K78" t="s">
        <v>60</v>
      </c>
      <c r="L78" s="12">
        <v>24183</v>
      </c>
      <c r="M78" t="s">
        <v>29</v>
      </c>
      <c r="N78" s="29" t="s">
        <v>187</v>
      </c>
      <c r="O78" t="s">
        <v>65</v>
      </c>
      <c r="P78">
        <v>32</v>
      </c>
      <c r="Q78" t="s">
        <v>58</v>
      </c>
      <c r="R78" t="s">
        <v>61</v>
      </c>
      <c r="S78" t="s">
        <v>41</v>
      </c>
      <c r="T78" s="13">
        <v>850</v>
      </c>
      <c r="U78" t="s">
        <v>288</v>
      </c>
      <c r="V78">
        <v>1186781343</v>
      </c>
      <c r="W78" s="15" t="str">
        <f t="shared" si="2"/>
        <v>תקין</v>
      </c>
      <c r="X78" s="17"/>
    </row>
    <row r="79" spans="1:24" x14ac:dyDescent="0.3">
      <c r="A79" t="s">
        <v>36</v>
      </c>
      <c r="B79" t="s">
        <v>58</v>
      </c>
      <c r="C79" s="28">
        <v>25435918</v>
      </c>
      <c r="D79" s="14" t="str">
        <f t="array" ref="D79">IF((RIGHT(10-MOD(SUM(--MID(TEXT(C79,"000000000"),{1,3,5,7},1),--RIGHT(MID(TEXT(C79,"000000000"),{2,4,6,8},1)*2),--LEFT(TEXT((MID(TEXT(C79,"000000000"),{2,4,6,8},1)*2),"00"))),10),1))=TEXT(VALUE(RIGHT(C79,1)),"0"),"תקין","מספר זהוי שגוי")</f>
        <v>תקין</v>
      </c>
      <c r="E79" t="s">
        <v>188</v>
      </c>
      <c r="F79" t="s">
        <v>189</v>
      </c>
      <c r="G79" t="s">
        <v>17</v>
      </c>
      <c r="H79" t="s">
        <v>18</v>
      </c>
      <c r="I79" t="s">
        <v>26</v>
      </c>
      <c r="J79">
        <v>4</v>
      </c>
      <c r="K79" t="s">
        <v>60</v>
      </c>
      <c r="L79" s="12">
        <v>26842</v>
      </c>
      <c r="M79" t="s">
        <v>29</v>
      </c>
      <c r="N79" s="29">
        <v>500000000</v>
      </c>
      <c r="O79" t="s">
        <v>68</v>
      </c>
      <c r="P79">
        <v>16</v>
      </c>
      <c r="Q79" t="s">
        <v>58</v>
      </c>
      <c r="R79" t="s">
        <v>61</v>
      </c>
      <c r="S79" t="s">
        <v>41</v>
      </c>
      <c r="T79" s="13">
        <v>850</v>
      </c>
      <c r="U79" t="s">
        <v>288</v>
      </c>
      <c r="V79">
        <v>1186781351</v>
      </c>
      <c r="W79" s="15" t="str">
        <f t="shared" si="2"/>
        <v>תקין</v>
      </c>
      <c r="X79" s="17"/>
    </row>
    <row r="80" spans="1:24" x14ac:dyDescent="0.3">
      <c r="A80" t="s">
        <v>36</v>
      </c>
      <c r="B80" t="s">
        <v>58</v>
      </c>
      <c r="C80" s="28">
        <v>309939536</v>
      </c>
      <c r="D80" s="14" t="str">
        <f t="array" ref="D80">IF((RIGHT(10-MOD(SUM(--MID(TEXT(C80,"000000000"),{1,3,5,7},1),--RIGHT(MID(TEXT(C80,"000000000"),{2,4,6,8},1)*2),--LEFT(TEXT((MID(TEXT(C80,"000000000"),{2,4,6,8},1)*2),"00"))),10),1))=TEXT(VALUE(RIGHT(C80,1)),"0"),"תקין","מספר זהוי שגוי")</f>
        <v>תקין</v>
      </c>
      <c r="E80" t="s">
        <v>190</v>
      </c>
      <c r="F80" t="s">
        <v>191</v>
      </c>
      <c r="G80" t="s">
        <v>17</v>
      </c>
      <c r="H80" t="s">
        <v>18</v>
      </c>
      <c r="I80" t="s">
        <v>25</v>
      </c>
      <c r="J80">
        <v>8</v>
      </c>
      <c r="K80" t="s">
        <v>192</v>
      </c>
      <c r="L80" s="12">
        <v>31200</v>
      </c>
      <c r="M80" t="s">
        <v>29</v>
      </c>
      <c r="N80" s="29" t="s">
        <v>193</v>
      </c>
      <c r="O80" t="s">
        <v>194</v>
      </c>
      <c r="P80">
        <v>16</v>
      </c>
      <c r="Q80" t="s">
        <v>58</v>
      </c>
      <c r="R80" t="s">
        <v>61</v>
      </c>
      <c r="S80" t="s">
        <v>41</v>
      </c>
      <c r="T80" s="13">
        <v>818</v>
      </c>
      <c r="U80" t="s">
        <v>288</v>
      </c>
      <c r="V80">
        <v>1186781378</v>
      </c>
      <c r="W80" s="15" t="str">
        <f t="shared" si="2"/>
        <v>תקין</v>
      </c>
      <c r="X80" s="17"/>
    </row>
    <row r="81" spans="1:24" x14ac:dyDescent="0.3">
      <c r="A81" t="s">
        <v>36</v>
      </c>
      <c r="B81" t="s">
        <v>58</v>
      </c>
      <c r="C81" s="28">
        <v>322265257</v>
      </c>
      <c r="D81" s="14" t="str">
        <f t="array" ref="D81">IF((RIGHT(10-MOD(SUM(--MID(TEXT(C81,"000000000"),{1,3,5,7},1),--RIGHT(MID(TEXT(C81,"000000000"),{2,4,6,8},1)*2),--LEFT(TEXT((MID(TEXT(C81,"000000000"),{2,4,6,8},1)*2),"00"))),10),1))=TEXT(VALUE(RIGHT(C81,1)),"0"),"תקין","מספר זהוי שגוי")</f>
        <v>תקין</v>
      </c>
      <c r="E81" t="s">
        <v>59</v>
      </c>
      <c r="F81" t="s">
        <v>195</v>
      </c>
      <c r="G81" t="s">
        <v>17</v>
      </c>
      <c r="H81" t="s">
        <v>18</v>
      </c>
      <c r="I81" t="s">
        <v>23</v>
      </c>
      <c r="J81">
        <v>1</v>
      </c>
      <c r="K81" t="s">
        <v>60</v>
      </c>
      <c r="L81" s="12">
        <v>36683</v>
      </c>
      <c r="M81" t="s">
        <v>29</v>
      </c>
      <c r="N81" s="29" t="s">
        <v>196</v>
      </c>
      <c r="O81" t="s">
        <v>80</v>
      </c>
      <c r="P81">
        <v>24</v>
      </c>
      <c r="Q81" t="s">
        <v>58</v>
      </c>
      <c r="R81" t="s">
        <v>62</v>
      </c>
      <c r="S81" t="s">
        <v>40</v>
      </c>
      <c r="T81" s="13">
        <v>1000</v>
      </c>
      <c r="U81" t="s">
        <v>288</v>
      </c>
      <c r="V81">
        <v>1186781386</v>
      </c>
      <c r="W81" s="15" t="str">
        <f t="shared" si="2"/>
        <v>תקין</v>
      </c>
      <c r="X81" s="17"/>
    </row>
  </sheetData>
  <autoFilter ref="A6:AD6" xr:uid="{00000000-0009-0000-0000-000000000000}">
    <sortState xmlns:xlrd2="http://schemas.microsoft.com/office/spreadsheetml/2017/richdata2" ref="A7:AD81">
      <sortCondition ref="A6"/>
    </sortState>
  </autoFilter>
  <mergeCells count="8">
    <mergeCell ref="AB4:AB5"/>
    <mergeCell ref="AD4:AD5"/>
    <mergeCell ref="R3:R5"/>
    <mergeCell ref="T3:T5"/>
    <mergeCell ref="V4:V5"/>
    <mergeCell ref="X4:X5"/>
    <mergeCell ref="Z4:Z5"/>
    <mergeCell ref="V3:AE3"/>
  </mergeCells>
  <phoneticPr fontId="4" type="noConversion"/>
  <conditionalFormatting sqref="D7:D81">
    <cfRule type="containsText" dxfId="5" priority="5" operator="containsText" text="תקין">
      <formula>NOT(ISERROR(SEARCH("תקין",D7)))</formula>
    </cfRule>
    <cfRule type="containsText" dxfId="4" priority="6" operator="containsText" text="מספר זהוי שגוי">
      <formula>NOT(ISERROR(SEARCH("מספר זהוי שגוי",D7)))</formula>
    </cfRule>
    <cfRule type="expression" priority="7">
      <formula>""</formula>
    </cfRule>
  </conditionalFormatting>
  <conditionalFormatting sqref="W7:W81">
    <cfRule type="containsText" dxfId="3" priority="3" operator="containsText" text="לא תקין">
      <formula>NOT(ISERROR(SEARCH("לא תקין",W7)))</formula>
    </cfRule>
    <cfRule type="containsText" dxfId="2" priority="4" operator="containsText" text="תקין">
      <formula>NOT(ISERROR(SEARCH("תקין",W7)))</formula>
    </cfRule>
  </conditionalFormatting>
  <conditionalFormatting sqref="Y37">
    <cfRule type="containsText" dxfId="1" priority="1" operator="containsText" text="לא תקין">
      <formula>NOT(ISERROR(SEARCH("לא תקין",Y37)))</formula>
    </cfRule>
    <cfRule type="containsText" dxfId="0" priority="2" operator="containsText" text="תקין">
      <formula>NOT(ISERROR(SEARCH("תקין",Y37)))</formula>
    </cfRule>
  </conditionalFormatting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בקשות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Shalom Blau</cp:lastModifiedBy>
  <cp:lastPrinted>2022-12-12T08:33:37Z</cp:lastPrinted>
  <dcterms:created xsi:type="dcterms:W3CDTF">2022-07-06T17:37:42Z</dcterms:created>
  <dcterms:modified xsi:type="dcterms:W3CDTF">2023-11-13T13:39:23Z</dcterms:modified>
</cp:coreProperties>
</file>